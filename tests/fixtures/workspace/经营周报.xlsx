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明细" state="visible" r:id="rId4"/>
    <sheet sheetId="2" name="区域目标" state="visible" r:id="rId5"/>
    <sheet sheetId="3" name="汇总看板" state="visible" r:id="rId6"/>
    <sheet sheetId="4" name="口径说明" state="visible" r:id="rId7"/>
  </sheets>
  <calcPr calcId="171027"/>
</workbook>
</file>

<file path=xl/sharedStrings.xml><?xml version="1.0" encoding="utf-8"?>
<sst xmlns="http://schemas.openxmlformats.org/spreadsheetml/2006/main" count="549" uniqueCount="158">
  <si>
    <t>产品</t>
  </si>
  <si>
    <t>区域</t>
  </si>
  <si>
    <t>负责人</t>
  </si>
  <si>
    <t>实际销售额</t>
  </si>
  <si>
    <t>退货</t>
  </si>
  <si>
    <t>月份</t>
  </si>
  <si>
    <t>华东-经济款</t>
  </si>
  <si>
    <t>华东</t>
  </si>
  <si>
    <t>陈琳</t>
  </si>
  <si>
    <t>2026-09</t>
  </si>
  <si>
    <t>华北-标准款</t>
  </si>
  <si>
    <t>华北</t>
  </si>
  <si>
    <t>赵静</t>
  </si>
  <si>
    <t>华东-旗舰款</t>
  </si>
  <si>
    <t>周宇</t>
  </si>
  <si>
    <t>华南-优选款</t>
  </si>
  <si>
    <t>华南</t>
  </si>
  <si>
    <t>孙悦</t>
  </si>
  <si>
    <t>华西-基础款</t>
  </si>
  <si>
    <t>华西</t>
  </si>
  <si>
    <t>吴浩</t>
  </si>
  <si>
    <t>华北-经济款-006</t>
  </si>
  <si>
    <t>刘洋</t>
  </si>
  <si>
    <t>华南-标准款-007</t>
  </si>
  <si>
    <t>王敏</t>
  </si>
  <si>
    <t>华西-优选款-008</t>
  </si>
  <si>
    <t>华东-旗舰款-009</t>
  </si>
  <si>
    <t>华北-基础款-010</t>
  </si>
  <si>
    <t>华南-经济款-011</t>
  </si>
  <si>
    <t>华西-标准款-012</t>
  </si>
  <si>
    <t>华东-优选款-013</t>
  </si>
  <si>
    <t>华北-旗舰款-014</t>
  </si>
  <si>
    <t>华南-基础款-015</t>
  </si>
  <si>
    <t>华西-经济款-016</t>
  </si>
  <si>
    <t>华东-标准款-017</t>
  </si>
  <si>
    <t>华北-优选款-018</t>
  </si>
  <si>
    <t>华南-旗舰款-019</t>
  </si>
  <si>
    <t>华西-基础款-020</t>
  </si>
  <si>
    <t>华东-经济款-021</t>
  </si>
  <si>
    <t>华北-标准款-022</t>
  </si>
  <si>
    <t>华南-优选款-023</t>
  </si>
  <si>
    <t>华西-旗舰款-024</t>
  </si>
  <si>
    <t>华东-基础款-025</t>
  </si>
  <si>
    <t>华北-经济款-026</t>
  </si>
  <si>
    <t>华南-标准款-027</t>
  </si>
  <si>
    <t>华西-优选款-028</t>
  </si>
  <si>
    <t>华东-旗舰款-029</t>
  </si>
  <si>
    <t>华北-基础款-030</t>
  </si>
  <si>
    <t>华南-经济款-031</t>
  </si>
  <si>
    <t>华西-标准款-032</t>
  </si>
  <si>
    <t>华东-优选款-033</t>
  </si>
  <si>
    <t>华北-旗舰款-034</t>
  </si>
  <si>
    <t>华南-基础款-035</t>
  </si>
  <si>
    <t>华西-经济款-036</t>
  </si>
  <si>
    <t>华东-标准款-037</t>
  </si>
  <si>
    <t>华北-优选款-038</t>
  </si>
  <si>
    <t>华南-旗舰款-039</t>
  </si>
  <si>
    <t>华西-基础款-040</t>
  </si>
  <si>
    <t>华东-经济款-041</t>
  </si>
  <si>
    <t>华北-标准款-042</t>
  </si>
  <si>
    <t>华南-优选款-043</t>
  </si>
  <si>
    <t>华西-旗舰款-044</t>
  </si>
  <si>
    <t>华东-基础款-045</t>
  </si>
  <si>
    <t>华北-经济款-046</t>
  </si>
  <si>
    <t>华南-标准款-047</t>
  </si>
  <si>
    <t>华西-优选款-048</t>
  </si>
  <si>
    <t>华东-旗舰款-049</t>
  </si>
  <si>
    <t>华北-基础款-050</t>
  </si>
  <si>
    <t>华南-经济款-051</t>
  </si>
  <si>
    <t>华西-标准款-052</t>
  </si>
  <si>
    <t>华东-优选款-053</t>
  </si>
  <si>
    <t>华北-旗舰款-054</t>
  </si>
  <si>
    <t>华南-基础款-055</t>
  </si>
  <si>
    <t>华西-经济款-056</t>
  </si>
  <si>
    <t>华东-标准款-057</t>
  </si>
  <si>
    <t>华北-优选款-058</t>
  </si>
  <si>
    <t>华南-旗舰款-059</t>
  </si>
  <si>
    <t>华西-基础款-060</t>
  </si>
  <si>
    <t>华东-经济款-061</t>
  </si>
  <si>
    <t>华北-标准款-062</t>
  </si>
  <si>
    <t>华南-优选款-063</t>
  </si>
  <si>
    <t>华西-旗舰款-064</t>
  </si>
  <si>
    <t>华东-基础款-065</t>
  </si>
  <si>
    <t>华北-经济款-066</t>
  </si>
  <si>
    <t>华南-标准款-067</t>
  </si>
  <si>
    <t>华西-优选款-068</t>
  </si>
  <si>
    <t>华东-旗舰款-069</t>
  </si>
  <si>
    <t>华北-基础款-070</t>
  </si>
  <si>
    <t>华南-经济款-071</t>
  </si>
  <si>
    <t>华西-标准款-072</t>
  </si>
  <si>
    <t>华东-优选款-073</t>
  </si>
  <si>
    <t>华北-旗舰款-074</t>
  </si>
  <si>
    <t>华南-基础款-075</t>
  </si>
  <si>
    <t>华西-经济款-076</t>
  </si>
  <si>
    <t>华东-标准款-077</t>
  </si>
  <si>
    <t>华北-优选款-078</t>
  </si>
  <si>
    <t>华南-旗舰款-079</t>
  </si>
  <si>
    <t>华西-基础款-080</t>
  </si>
  <si>
    <t>华东-经济款-081</t>
  </si>
  <si>
    <t>华北-标准款-082</t>
  </si>
  <si>
    <t>华南-优选款-083</t>
  </si>
  <si>
    <t>华西-旗舰款-084</t>
  </si>
  <si>
    <t>华东-基础款-085</t>
  </si>
  <si>
    <t>华北-经济款-086</t>
  </si>
  <si>
    <t>华南-标准款-087</t>
  </si>
  <si>
    <t>华西-优选款-088</t>
  </si>
  <si>
    <t>华东-旗舰款-089</t>
  </si>
  <si>
    <t>华北-基础款-090</t>
  </si>
  <si>
    <t>华南-经济款-091</t>
  </si>
  <si>
    <t>华西-标准款-092</t>
  </si>
  <si>
    <t>华东-优选款-093</t>
  </si>
  <si>
    <t>华北-旗舰款-094</t>
  </si>
  <si>
    <t>华南-基础款-095</t>
  </si>
  <si>
    <t>华西-经济款-096</t>
  </si>
  <si>
    <t>华东-标准款-097</t>
  </si>
  <si>
    <t>华北-优选款-098</t>
  </si>
  <si>
    <t>华南-旗舰款-099</t>
  </si>
  <si>
    <t>华西-基础款-100</t>
  </si>
  <si>
    <t>华东-经济款-101</t>
  </si>
  <si>
    <t>华北-标准款-102</t>
  </si>
  <si>
    <t>华南-优选款-103</t>
  </si>
  <si>
    <t>华西-旗舰款-104</t>
  </si>
  <si>
    <t>华东-基础款-105</t>
  </si>
  <si>
    <t>华北-经济款-106</t>
  </si>
  <si>
    <t>华南-标准款-107</t>
  </si>
  <si>
    <t>华西-优选款-108</t>
  </si>
  <si>
    <t>华东-旗舰款-109</t>
  </si>
  <si>
    <t>华北-基础款-110</t>
  </si>
  <si>
    <t>华南-经济款-111</t>
  </si>
  <si>
    <t>华西-标准款-112</t>
  </si>
  <si>
    <t>华东-优选款-113</t>
  </si>
  <si>
    <t>华北-旗舰款-114</t>
  </si>
  <si>
    <t>华南-基础款-115</t>
  </si>
  <si>
    <t>华西-经济款-116</t>
  </si>
  <si>
    <t>华东-标准款-117</t>
  </si>
  <si>
    <t>华北-优选款-118</t>
  </si>
  <si>
    <t>华南-旗舰款-119</t>
  </si>
  <si>
    <t>华西-基础款-120</t>
  </si>
  <si>
    <t>目标销售额</t>
  </si>
  <si>
    <t>最低毛利率</t>
  </si>
  <si>
    <t>指标</t>
  </si>
  <si>
    <t>数值</t>
  </si>
  <si>
    <t>实际合计</t>
  </si>
  <si>
    <t>目标合计</t>
  </si>
  <si>
    <t>缺口</t>
  </si>
  <si>
    <t>低于80万计数</t>
  </si>
  <si>
    <t>华北实际</t>
  </si>
  <si>
    <t>备注编号</t>
  </si>
  <si>
    <t>说明</t>
  </si>
  <si>
    <t>N-1</t>
  </si>
  <si>
    <t>财务</t>
  </si>
  <si>
    <t>华东-旗舰款退货率异常偏高；Q3 关账前保留此备注。</t>
  </si>
  <si>
    <t>N-2</t>
  </si>
  <si>
    <t>销售</t>
  </si>
  <si>
    <t>华北-标准款退款不影响季度目标对比。</t>
  </si>
  <si>
    <t>N-3</t>
  </si>
  <si>
    <t>运营</t>
  </si>
  <si>
    <t>华西区域目标维持 600,000 基线，勿改写。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</si>
</sst>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3" fontId="2" fillId="3" borderId="0" xfId="0" applyNumberFormat="1" applyFont="1" applyFill="1"/>
    <xf numFmtId="164" fontId="0" fillId="0" borderId="0" xfId="0" applyNumberFormat="1"/>
    <xf numFmtId="0" fontId="1" fillId="4" borderId="0" xfId="0" applyFont="1" applyFill="1"/>
    <xf numFmtId="3" fontId="1" fillId="4" borderId="0" xfId="0" applyNumberFormat="1" applyFont="1" applyFill="1"/>
    <xf numFmtId="164" fontId="1" fillId="4" borderId="0" xfId="0" applyNumberFormat="1" applyFont="1" applyFill="1"/>
    <xf numFmtId="0" fontId="1" fillId="5" borderId="0" xfId="0" applyFont="1" applyFill="1"/>
    <xf numFmtId="3" fontId="1" fillId="5" borderId="0" xfId="0" applyNumberFormat="1" applyFont="1" applyFill="1"/>
    <xf numFmtId="1" fontId="0" fillId="0" borderId="0" xfId="0" applyNumberFormat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FormatPr defaultRowHeight="15" outlineLevelRow="0" outlineLevelCol="0" x14ac:dyDescent="55"/>
  <cols>
    <col min="4" max="4" width="9" style="1" customWidth="1"/>
    <col min="5" max="5" width="9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820000</v>
      </c>
      <c r="E2" s="1">
        <v>12000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s="1">
        <v>1040000</v>
      </c>
      <c r="E3" s="1">
        <v>0</v>
      </c>
      <c r="F3" t="s">
        <v>9</v>
      </c>
    </row>
    <row r="4" spans="1:6" x14ac:dyDescent="0.25">
      <c r="A4" t="s">
        <v>13</v>
      </c>
      <c r="B4" t="s">
        <v>7</v>
      </c>
      <c r="C4" t="s">
        <v>14</v>
      </c>
      <c r="D4" s="4">
        <v>650000</v>
      </c>
      <c r="E4" s="4">
        <v>45000</v>
      </c>
      <c r="F4" t="s">
        <v>9</v>
      </c>
    </row>
    <row r="5" spans="1:6" x14ac:dyDescent="0.25">
      <c r="A5" t="s">
        <v>15</v>
      </c>
      <c r="B5" t="s">
        <v>16</v>
      </c>
      <c r="C5" t="s">
        <v>17</v>
      </c>
      <c r="D5" s="1">
        <v>910000</v>
      </c>
      <c r="E5" s="1">
        <v>8000</v>
      </c>
      <c r="F5" t="s">
        <v>9</v>
      </c>
    </row>
    <row r="6" spans="1:6" x14ac:dyDescent="0.25">
      <c r="A6" t="s">
        <v>18</v>
      </c>
      <c r="B6" t="s">
        <v>19</v>
      </c>
      <c r="C6" t="s">
        <v>20</v>
      </c>
      <c r="D6" s="1">
        <v>430000</v>
      </c>
      <c r="E6" s="1">
        <v>21000</v>
      </c>
      <c r="F6" t="s">
        <v>9</v>
      </c>
    </row>
    <row r="7" spans="1:6" x14ac:dyDescent="0.25">
      <c r="A7" t="s">
        <v>21</v>
      </c>
      <c r="B7" t="s">
        <v>11</v>
      </c>
      <c r="C7" t="s">
        <v>22</v>
      </c>
      <c r="D7" s="1">
        <v>615000</v>
      </c>
      <c r="E7" s="1">
        <v>0</v>
      </c>
      <c r="F7" t="s">
        <v>9</v>
      </c>
    </row>
    <row r="8" spans="1:6" x14ac:dyDescent="0.25">
      <c r="A8" t="s">
        <v>23</v>
      </c>
      <c r="B8" t="s">
        <v>16</v>
      </c>
      <c r="C8" t="s">
        <v>24</v>
      </c>
      <c r="D8" s="1">
        <v>662000</v>
      </c>
      <c r="E8" s="1">
        <v>0</v>
      </c>
      <c r="F8" t="s">
        <v>9</v>
      </c>
    </row>
    <row r="9" spans="1:6" x14ac:dyDescent="0.25">
      <c r="A9" t="s">
        <v>25</v>
      </c>
      <c r="B9" t="s">
        <v>19</v>
      </c>
      <c r="C9" t="s">
        <v>8</v>
      </c>
      <c r="D9" s="1">
        <v>709000</v>
      </c>
      <c r="E9" s="1">
        <v>6000</v>
      </c>
      <c r="F9" t="s">
        <v>9</v>
      </c>
    </row>
    <row r="10" spans="1:6" x14ac:dyDescent="0.25">
      <c r="A10" t="s">
        <v>26</v>
      </c>
      <c r="B10" t="s">
        <v>7</v>
      </c>
      <c r="C10" t="s">
        <v>12</v>
      </c>
      <c r="D10" s="1">
        <v>756000</v>
      </c>
      <c r="E10" s="1">
        <v>0</v>
      </c>
      <c r="F10" t="s">
        <v>9</v>
      </c>
    </row>
    <row r="11" spans="1:6" x14ac:dyDescent="0.25">
      <c r="A11" t="s">
        <v>27</v>
      </c>
      <c r="B11" t="s">
        <v>11</v>
      </c>
      <c r="C11" t="s">
        <v>14</v>
      </c>
      <c r="D11" s="1">
        <v>803000</v>
      </c>
      <c r="E11" s="1">
        <v>0</v>
      </c>
      <c r="F11" t="s">
        <v>9</v>
      </c>
    </row>
    <row r="12" spans="1:6" x14ac:dyDescent="0.25">
      <c r="A12" t="s">
        <v>28</v>
      </c>
      <c r="B12" t="s">
        <v>16</v>
      </c>
      <c r="C12" t="s">
        <v>17</v>
      </c>
      <c r="D12" s="1">
        <v>850000</v>
      </c>
      <c r="E12" s="1">
        <v>0</v>
      </c>
      <c r="F12" t="s">
        <v>9</v>
      </c>
    </row>
    <row r="13" spans="1:6" x14ac:dyDescent="0.25">
      <c r="A13" t="s">
        <v>29</v>
      </c>
      <c r="B13" t="s">
        <v>19</v>
      </c>
      <c r="C13" t="s">
        <v>20</v>
      </c>
      <c r="D13" s="1">
        <v>897000</v>
      </c>
      <c r="E13" s="1">
        <v>21000</v>
      </c>
      <c r="F13" t="s">
        <v>9</v>
      </c>
    </row>
    <row r="14" spans="1:6" x14ac:dyDescent="0.25">
      <c r="A14" t="s">
        <v>30</v>
      </c>
      <c r="B14" t="s">
        <v>7</v>
      </c>
      <c r="C14" t="s">
        <v>22</v>
      </c>
      <c r="D14" s="1">
        <v>944000</v>
      </c>
      <c r="E14" s="1">
        <v>0</v>
      </c>
      <c r="F14" t="s">
        <v>9</v>
      </c>
    </row>
    <row r="15" spans="1:6" x14ac:dyDescent="0.25">
      <c r="A15" t="s">
        <v>31</v>
      </c>
      <c r="B15" t="s">
        <v>11</v>
      </c>
      <c r="C15" t="s">
        <v>24</v>
      </c>
      <c r="D15" s="1">
        <v>991000</v>
      </c>
      <c r="E15" s="1">
        <v>0</v>
      </c>
      <c r="F15" t="s">
        <v>9</v>
      </c>
    </row>
    <row r="16" spans="1:6" x14ac:dyDescent="0.25">
      <c r="A16" t="s">
        <v>32</v>
      </c>
      <c r="B16" t="s">
        <v>16</v>
      </c>
      <c r="C16" t="s">
        <v>8</v>
      </c>
      <c r="D16" s="1">
        <v>1038000</v>
      </c>
      <c r="E16" s="1">
        <v>6000</v>
      </c>
      <c r="F16" t="s">
        <v>9</v>
      </c>
    </row>
    <row r="17" spans="1:6" x14ac:dyDescent="0.25">
      <c r="A17" t="s">
        <v>33</v>
      </c>
      <c r="B17" t="s">
        <v>19</v>
      </c>
      <c r="C17" t="s">
        <v>12</v>
      </c>
      <c r="D17" s="1">
        <v>1085000</v>
      </c>
      <c r="E17" s="1">
        <v>0</v>
      </c>
      <c r="F17" t="s">
        <v>9</v>
      </c>
    </row>
    <row r="18" spans="1:6" x14ac:dyDescent="0.25">
      <c r="A18" t="s">
        <v>34</v>
      </c>
      <c r="B18" t="s">
        <v>7</v>
      </c>
      <c r="C18" t="s">
        <v>14</v>
      </c>
      <c r="D18" s="1">
        <v>1132000</v>
      </c>
      <c r="E18" s="1">
        <v>0</v>
      </c>
      <c r="F18" t="s">
        <v>9</v>
      </c>
    </row>
    <row r="19" spans="1:6" x14ac:dyDescent="0.25">
      <c r="A19" t="s">
        <v>35</v>
      </c>
      <c r="B19" t="s">
        <v>11</v>
      </c>
      <c r="C19" t="s">
        <v>17</v>
      </c>
      <c r="D19" s="1">
        <v>380000</v>
      </c>
      <c r="E19" s="1">
        <v>0</v>
      </c>
      <c r="F19" t="s">
        <v>9</v>
      </c>
    </row>
    <row r="20" spans="1:6" x14ac:dyDescent="0.25">
      <c r="A20" t="s">
        <v>36</v>
      </c>
      <c r="B20" t="s">
        <v>16</v>
      </c>
      <c r="C20" t="s">
        <v>20</v>
      </c>
      <c r="D20" s="1">
        <v>427000</v>
      </c>
      <c r="E20" s="1">
        <v>0</v>
      </c>
      <c r="F20" t="s">
        <v>9</v>
      </c>
    </row>
    <row r="21" spans="1:6" x14ac:dyDescent="0.25">
      <c r="A21" t="s">
        <v>37</v>
      </c>
      <c r="B21" t="s">
        <v>19</v>
      </c>
      <c r="C21" t="s">
        <v>22</v>
      </c>
      <c r="D21" s="1">
        <v>474000</v>
      </c>
      <c r="E21" s="1">
        <v>0</v>
      </c>
      <c r="F21" t="s">
        <v>9</v>
      </c>
    </row>
    <row r="22" spans="1:6" x14ac:dyDescent="0.25">
      <c r="A22" t="s">
        <v>38</v>
      </c>
      <c r="B22" t="s">
        <v>7</v>
      </c>
      <c r="C22" t="s">
        <v>24</v>
      </c>
      <c r="D22" s="1">
        <v>521000</v>
      </c>
      <c r="E22" s="1">
        <v>0</v>
      </c>
      <c r="F22" t="s">
        <v>9</v>
      </c>
    </row>
    <row r="23" spans="1:6" x14ac:dyDescent="0.25">
      <c r="A23" t="s">
        <v>39</v>
      </c>
      <c r="B23" t="s">
        <v>11</v>
      </c>
      <c r="C23" t="s">
        <v>8</v>
      </c>
      <c r="D23" s="1">
        <v>568000</v>
      </c>
      <c r="E23" s="1">
        <v>6000</v>
      </c>
      <c r="F23" t="s">
        <v>9</v>
      </c>
    </row>
    <row r="24" spans="1:6" x14ac:dyDescent="0.25">
      <c r="A24" t="s">
        <v>40</v>
      </c>
      <c r="B24" t="s">
        <v>16</v>
      </c>
      <c r="C24" t="s">
        <v>12</v>
      </c>
      <c r="D24" s="1">
        <v>615000</v>
      </c>
      <c r="E24" s="1">
        <v>24000</v>
      </c>
      <c r="F24" t="s">
        <v>9</v>
      </c>
    </row>
    <row r="25" spans="1:6" x14ac:dyDescent="0.25">
      <c r="A25" t="s">
        <v>41</v>
      </c>
      <c r="B25" t="s">
        <v>19</v>
      </c>
      <c r="C25" t="s">
        <v>14</v>
      </c>
      <c r="D25" s="1">
        <v>662000</v>
      </c>
      <c r="E25" s="1">
        <v>0</v>
      </c>
      <c r="F25" t="s">
        <v>9</v>
      </c>
    </row>
    <row r="26" spans="1:6" x14ac:dyDescent="0.25">
      <c r="A26" t="s">
        <v>42</v>
      </c>
      <c r="B26" t="s">
        <v>7</v>
      </c>
      <c r="C26" t="s">
        <v>17</v>
      </c>
      <c r="D26" s="1">
        <v>709000</v>
      </c>
      <c r="E26" s="1">
        <v>0</v>
      </c>
      <c r="F26" t="s">
        <v>9</v>
      </c>
    </row>
    <row r="27" spans="1:6" x14ac:dyDescent="0.25">
      <c r="A27" t="s">
        <v>43</v>
      </c>
      <c r="B27" t="s">
        <v>11</v>
      </c>
      <c r="C27" t="s">
        <v>20</v>
      </c>
      <c r="D27" s="1">
        <v>756000</v>
      </c>
      <c r="E27" s="1">
        <v>0</v>
      </c>
      <c r="F27" t="s">
        <v>9</v>
      </c>
    </row>
    <row r="28" spans="1:6" x14ac:dyDescent="0.25">
      <c r="A28" t="s">
        <v>44</v>
      </c>
      <c r="B28" t="s">
        <v>16</v>
      </c>
      <c r="C28" t="s">
        <v>22</v>
      </c>
      <c r="D28" s="1">
        <v>803000</v>
      </c>
      <c r="E28" s="1">
        <v>0</v>
      </c>
      <c r="F28" t="s">
        <v>9</v>
      </c>
    </row>
    <row r="29" spans="1:6" x14ac:dyDescent="0.25">
      <c r="A29" t="s">
        <v>45</v>
      </c>
      <c r="B29" t="s">
        <v>19</v>
      </c>
      <c r="C29" t="s">
        <v>24</v>
      </c>
      <c r="D29" s="1">
        <v>850000</v>
      </c>
      <c r="E29" s="1">
        <v>0</v>
      </c>
      <c r="F29" t="s">
        <v>9</v>
      </c>
    </row>
    <row r="30" spans="1:6" x14ac:dyDescent="0.25">
      <c r="A30" t="s">
        <v>46</v>
      </c>
      <c r="B30" t="s">
        <v>7</v>
      </c>
      <c r="C30" t="s">
        <v>8</v>
      </c>
      <c r="D30" s="1">
        <v>897000</v>
      </c>
      <c r="E30" s="1">
        <v>6000</v>
      </c>
      <c r="F30" t="s">
        <v>9</v>
      </c>
    </row>
    <row r="31" spans="1:6" x14ac:dyDescent="0.25">
      <c r="A31" t="s">
        <v>47</v>
      </c>
      <c r="B31" t="s">
        <v>11</v>
      </c>
      <c r="C31" t="s">
        <v>12</v>
      </c>
      <c r="D31" s="1">
        <v>944000</v>
      </c>
      <c r="E31" s="1">
        <v>0</v>
      </c>
      <c r="F31" t="s">
        <v>9</v>
      </c>
    </row>
    <row r="32" spans="1:6" x14ac:dyDescent="0.25">
      <c r="A32" t="s">
        <v>48</v>
      </c>
      <c r="B32" t="s">
        <v>16</v>
      </c>
      <c r="C32" t="s">
        <v>14</v>
      </c>
      <c r="D32" s="1">
        <v>991000</v>
      </c>
      <c r="E32" s="1">
        <v>0</v>
      </c>
      <c r="F32" t="s">
        <v>9</v>
      </c>
    </row>
    <row r="33" spans="1:6" x14ac:dyDescent="0.25">
      <c r="A33" t="s">
        <v>49</v>
      </c>
      <c r="B33" t="s">
        <v>19</v>
      </c>
      <c r="C33" t="s">
        <v>17</v>
      </c>
      <c r="D33" s="1">
        <v>1038000</v>
      </c>
      <c r="E33" s="1">
        <v>0</v>
      </c>
      <c r="F33" t="s">
        <v>9</v>
      </c>
    </row>
    <row r="34" spans="1:6" x14ac:dyDescent="0.25">
      <c r="A34" t="s">
        <v>50</v>
      </c>
      <c r="B34" t="s">
        <v>7</v>
      </c>
      <c r="C34" t="s">
        <v>20</v>
      </c>
      <c r="D34" s="1">
        <v>1085000</v>
      </c>
      <c r="E34" s="1">
        <v>0</v>
      </c>
      <c r="F34" t="s">
        <v>9</v>
      </c>
    </row>
    <row r="35" spans="1:6" x14ac:dyDescent="0.25">
      <c r="A35" t="s">
        <v>51</v>
      </c>
      <c r="B35" t="s">
        <v>11</v>
      </c>
      <c r="C35" t="s">
        <v>22</v>
      </c>
      <c r="D35" s="1">
        <v>1132000</v>
      </c>
      <c r="E35" s="1">
        <v>27000</v>
      </c>
      <c r="F35" t="s">
        <v>9</v>
      </c>
    </row>
    <row r="36" spans="1:6" x14ac:dyDescent="0.25">
      <c r="A36" t="s">
        <v>52</v>
      </c>
      <c r="B36" t="s">
        <v>16</v>
      </c>
      <c r="C36" t="s">
        <v>24</v>
      </c>
      <c r="D36" s="1">
        <v>380000</v>
      </c>
      <c r="E36" s="1">
        <v>0</v>
      </c>
      <c r="F36" t="s">
        <v>9</v>
      </c>
    </row>
    <row r="37" spans="1:6" x14ac:dyDescent="0.25">
      <c r="A37" t="s">
        <v>53</v>
      </c>
      <c r="B37" t="s">
        <v>19</v>
      </c>
      <c r="C37" t="s">
        <v>8</v>
      </c>
      <c r="D37" s="1">
        <v>427000</v>
      </c>
      <c r="E37" s="1">
        <v>6000</v>
      </c>
      <c r="F37" t="s">
        <v>9</v>
      </c>
    </row>
    <row r="38" spans="1:6" x14ac:dyDescent="0.25">
      <c r="A38" t="s">
        <v>54</v>
      </c>
      <c r="B38" t="s">
        <v>7</v>
      </c>
      <c r="C38" t="s">
        <v>12</v>
      </c>
      <c r="D38" s="1">
        <v>474000</v>
      </c>
      <c r="E38" s="1">
        <v>0</v>
      </c>
      <c r="F38" t="s">
        <v>9</v>
      </c>
    </row>
    <row r="39" spans="1:6" x14ac:dyDescent="0.25">
      <c r="A39" t="s">
        <v>55</v>
      </c>
      <c r="B39" t="s">
        <v>11</v>
      </c>
      <c r="C39" t="s">
        <v>14</v>
      </c>
      <c r="D39" s="1">
        <v>521000</v>
      </c>
      <c r="E39" s="1">
        <v>0</v>
      </c>
      <c r="F39" t="s">
        <v>9</v>
      </c>
    </row>
    <row r="40" spans="1:6" x14ac:dyDescent="0.25">
      <c r="A40" t="s">
        <v>56</v>
      </c>
      <c r="B40" t="s">
        <v>16</v>
      </c>
      <c r="C40" t="s">
        <v>17</v>
      </c>
      <c r="D40" s="1">
        <v>568000</v>
      </c>
      <c r="E40" s="1">
        <v>0</v>
      </c>
      <c r="F40" t="s">
        <v>9</v>
      </c>
    </row>
    <row r="41" spans="1:6" x14ac:dyDescent="0.25">
      <c r="A41" t="s">
        <v>57</v>
      </c>
      <c r="B41" t="s">
        <v>19</v>
      </c>
      <c r="C41" t="s">
        <v>20</v>
      </c>
      <c r="D41" s="1">
        <v>615000</v>
      </c>
      <c r="E41" s="1">
        <v>0</v>
      </c>
      <c r="F41" t="s">
        <v>9</v>
      </c>
    </row>
    <row r="42" spans="1:6" x14ac:dyDescent="0.25">
      <c r="A42" t="s">
        <v>58</v>
      </c>
      <c r="B42" t="s">
        <v>7</v>
      </c>
      <c r="C42" t="s">
        <v>22</v>
      </c>
      <c r="D42" s="1">
        <v>662000</v>
      </c>
      <c r="E42" s="1">
        <v>0</v>
      </c>
      <c r="F42" t="s">
        <v>9</v>
      </c>
    </row>
    <row r="43" spans="1:6" x14ac:dyDescent="0.25">
      <c r="A43" t="s">
        <v>59</v>
      </c>
      <c r="B43" t="s">
        <v>11</v>
      </c>
      <c r="C43" t="s">
        <v>24</v>
      </c>
      <c r="D43" s="1">
        <v>709000</v>
      </c>
      <c r="E43" s="1">
        <v>0</v>
      </c>
      <c r="F43" t="s">
        <v>9</v>
      </c>
    </row>
    <row r="44" spans="1:6" x14ac:dyDescent="0.25">
      <c r="A44" t="s">
        <v>60</v>
      </c>
      <c r="B44" t="s">
        <v>16</v>
      </c>
      <c r="C44" t="s">
        <v>8</v>
      </c>
      <c r="D44" s="1">
        <v>756000</v>
      </c>
      <c r="E44" s="1">
        <v>6000</v>
      </c>
      <c r="F44" t="s">
        <v>9</v>
      </c>
    </row>
    <row r="45" spans="1:6" x14ac:dyDescent="0.25">
      <c r="A45" t="s">
        <v>61</v>
      </c>
      <c r="B45" t="s">
        <v>19</v>
      </c>
      <c r="C45" t="s">
        <v>12</v>
      </c>
      <c r="D45" s="1">
        <v>803000</v>
      </c>
      <c r="E45" s="1">
        <v>0</v>
      </c>
      <c r="F45" t="s">
        <v>9</v>
      </c>
    </row>
    <row r="46" spans="1:6" x14ac:dyDescent="0.25">
      <c r="A46" t="s">
        <v>62</v>
      </c>
      <c r="B46" t="s">
        <v>7</v>
      </c>
      <c r="C46" t="s">
        <v>14</v>
      </c>
      <c r="D46" s="1">
        <v>850000</v>
      </c>
      <c r="E46" s="1">
        <v>30000</v>
      </c>
      <c r="F46" t="s">
        <v>9</v>
      </c>
    </row>
    <row r="47" spans="1:6" x14ac:dyDescent="0.25">
      <c r="A47" t="s">
        <v>63</v>
      </c>
      <c r="B47" t="s">
        <v>11</v>
      </c>
      <c r="C47" t="s">
        <v>17</v>
      </c>
      <c r="D47" s="1">
        <v>897000</v>
      </c>
      <c r="E47" s="1">
        <v>0</v>
      </c>
      <c r="F47" t="s">
        <v>9</v>
      </c>
    </row>
    <row r="48" spans="1:6" x14ac:dyDescent="0.25">
      <c r="A48" t="s">
        <v>64</v>
      </c>
      <c r="B48" t="s">
        <v>16</v>
      </c>
      <c r="C48" t="s">
        <v>20</v>
      </c>
      <c r="D48" s="1">
        <v>944000</v>
      </c>
      <c r="E48" s="1">
        <v>0</v>
      </c>
      <c r="F48" t="s">
        <v>9</v>
      </c>
    </row>
    <row r="49" spans="1:6" x14ac:dyDescent="0.25">
      <c r="A49" t="s">
        <v>65</v>
      </c>
      <c r="B49" t="s">
        <v>19</v>
      </c>
      <c r="C49" t="s">
        <v>22</v>
      </c>
      <c r="D49" s="1">
        <v>991000</v>
      </c>
      <c r="E49" s="1">
        <v>0</v>
      </c>
      <c r="F49" t="s">
        <v>9</v>
      </c>
    </row>
    <row r="50" spans="1:6" x14ac:dyDescent="0.25">
      <c r="A50" t="s">
        <v>66</v>
      </c>
      <c r="B50" t="s">
        <v>7</v>
      </c>
      <c r="C50" t="s">
        <v>24</v>
      </c>
      <c r="D50" s="1">
        <v>1038000</v>
      </c>
      <c r="E50" s="1">
        <v>0</v>
      </c>
      <c r="F50" t="s">
        <v>9</v>
      </c>
    </row>
    <row r="51" spans="1:6" x14ac:dyDescent="0.25">
      <c r="A51" t="s">
        <v>67</v>
      </c>
      <c r="B51" t="s">
        <v>11</v>
      </c>
      <c r="C51" t="s">
        <v>8</v>
      </c>
      <c r="D51" s="1">
        <v>1085000</v>
      </c>
      <c r="E51" s="1">
        <v>6000</v>
      </c>
      <c r="F51" t="s">
        <v>9</v>
      </c>
    </row>
    <row r="52" spans="1:6" x14ac:dyDescent="0.25">
      <c r="A52" t="s">
        <v>68</v>
      </c>
      <c r="B52" t="s">
        <v>16</v>
      </c>
      <c r="C52" t="s">
        <v>12</v>
      </c>
      <c r="D52" s="1">
        <v>1132000</v>
      </c>
      <c r="E52" s="1">
        <v>0</v>
      </c>
      <c r="F52" t="s">
        <v>9</v>
      </c>
    </row>
    <row r="53" spans="1:6" x14ac:dyDescent="0.25">
      <c r="A53" t="s">
        <v>69</v>
      </c>
      <c r="B53" t="s">
        <v>19</v>
      </c>
      <c r="C53" t="s">
        <v>14</v>
      </c>
      <c r="D53" s="1">
        <v>380000</v>
      </c>
      <c r="E53" s="1">
        <v>0</v>
      </c>
      <c r="F53" t="s">
        <v>9</v>
      </c>
    </row>
    <row r="54" spans="1:6" x14ac:dyDescent="0.25">
      <c r="A54" t="s">
        <v>70</v>
      </c>
      <c r="B54" t="s">
        <v>7</v>
      </c>
      <c r="C54" t="s">
        <v>17</v>
      </c>
      <c r="D54" s="1">
        <v>427000</v>
      </c>
      <c r="E54" s="1">
        <v>0</v>
      </c>
      <c r="F54" t="s">
        <v>9</v>
      </c>
    </row>
    <row r="55" spans="1:6" x14ac:dyDescent="0.25">
      <c r="A55" t="s">
        <v>71</v>
      </c>
      <c r="B55" t="s">
        <v>11</v>
      </c>
      <c r="C55" t="s">
        <v>20</v>
      </c>
      <c r="D55" s="1">
        <v>474000</v>
      </c>
      <c r="E55" s="1">
        <v>0</v>
      </c>
      <c r="F55" t="s">
        <v>9</v>
      </c>
    </row>
    <row r="56" spans="1:6" x14ac:dyDescent="0.25">
      <c r="A56" t="s">
        <v>72</v>
      </c>
      <c r="B56" t="s">
        <v>16</v>
      </c>
      <c r="C56" t="s">
        <v>22</v>
      </c>
      <c r="D56" s="1">
        <v>521000</v>
      </c>
      <c r="E56" s="1">
        <v>0</v>
      </c>
      <c r="F56" t="s">
        <v>9</v>
      </c>
    </row>
    <row r="57" spans="1:6" x14ac:dyDescent="0.25">
      <c r="A57" t="s">
        <v>73</v>
      </c>
      <c r="B57" t="s">
        <v>19</v>
      </c>
      <c r="C57" t="s">
        <v>24</v>
      </c>
      <c r="D57" s="1">
        <v>568000</v>
      </c>
      <c r="E57" s="1">
        <v>18000</v>
      </c>
      <c r="F57" t="s">
        <v>9</v>
      </c>
    </row>
    <row r="58" spans="1:6" x14ac:dyDescent="0.25">
      <c r="A58" t="s">
        <v>74</v>
      </c>
      <c r="B58" t="s">
        <v>7</v>
      </c>
      <c r="C58" t="s">
        <v>8</v>
      </c>
      <c r="D58" s="1">
        <v>615000</v>
      </c>
      <c r="E58" s="1">
        <v>6000</v>
      </c>
      <c r="F58" t="s">
        <v>9</v>
      </c>
    </row>
    <row r="59" spans="1:6" x14ac:dyDescent="0.25">
      <c r="A59" t="s">
        <v>75</v>
      </c>
      <c r="B59" t="s">
        <v>11</v>
      </c>
      <c r="C59" t="s">
        <v>12</v>
      </c>
      <c r="D59" s="1">
        <v>662000</v>
      </c>
      <c r="E59" s="1">
        <v>0</v>
      </c>
      <c r="F59" t="s">
        <v>9</v>
      </c>
    </row>
    <row r="60" spans="1:6" x14ac:dyDescent="0.25">
      <c r="A60" t="s">
        <v>76</v>
      </c>
      <c r="B60" t="s">
        <v>16</v>
      </c>
      <c r="C60" t="s">
        <v>14</v>
      </c>
      <c r="D60" s="1">
        <v>709000</v>
      </c>
      <c r="E60" s="1">
        <v>0</v>
      </c>
      <c r="F60" t="s">
        <v>9</v>
      </c>
    </row>
    <row r="61" spans="1:6" x14ac:dyDescent="0.25">
      <c r="A61" t="s">
        <v>77</v>
      </c>
      <c r="B61" t="s">
        <v>19</v>
      </c>
      <c r="C61" t="s">
        <v>17</v>
      </c>
      <c r="D61" s="1">
        <v>756000</v>
      </c>
      <c r="E61" s="1">
        <v>0</v>
      </c>
      <c r="F61" t="s">
        <v>9</v>
      </c>
    </row>
    <row r="62" spans="1:6" x14ac:dyDescent="0.25">
      <c r="A62" t="s">
        <v>78</v>
      </c>
      <c r="B62" t="s">
        <v>7</v>
      </c>
      <c r="C62" t="s">
        <v>20</v>
      </c>
      <c r="D62" s="1">
        <v>803000</v>
      </c>
      <c r="E62" s="1">
        <v>0</v>
      </c>
      <c r="F62" t="s">
        <v>9</v>
      </c>
    </row>
    <row r="63" spans="1:6" x14ac:dyDescent="0.25">
      <c r="A63" t="s">
        <v>79</v>
      </c>
      <c r="B63" t="s">
        <v>11</v>
      </c>
      <c r="C63" t="s">
        <v>22</v>
      </c>
      <c r="D63" s="1">
        <v>850000</v>
      </c>
      <c r="E63" s="1">
        <v>0</v>
      </c>
      <c r="F63" t="s">
        <v>9</v>
      </c>
    </row>
    <row r="64" spans="1:6" x14ac:dyDescent="0.25">
      <c r="A64" t="s">
        <v>80</v>
      </c>
      <c r="B64" t="s">
        <v>16</v>
      </c>
      <c r="C64" t="s">
        <v>24</v>
      </c>
      <c r="D64" s="1">
        <v>897000</v>
      </c>
      <c r="E64" s="1">
        <v>0</v>
      </c>
      <c r="F64" t="s">
        <v>9</v>
      </c>
    </row>
    <row r="65" spans="1:6" x14ac:dyDescent="0.25">
      <c r="A65" t="s">
        <v>81</v>
      </c>
      <c r="B65" t="s">
        <v>19</v>
      </c>
      <c r="C65" t="s">
        <v>8</v>
      </c>
      <c r="D65" s="1">
        <v>944000</v>
      </c>
      <c r="E65" s="1">
        <v>6000</v>
      </c>
      <c r="F65" t="s">
        <v>9</v>
      </c>
    </row>
    <row r="66" spans="1:6" x14ac:dyDescent="0.25">
      <c r="A66" t="s">
        <v>82</v>
      </c>
      <c r="B66" t="s">
        <v>7</v>
      </c>
      <c r="C66" t="s">
        <v>12</v>
      </c>
      <c r="D66" s="1">
        <v>991000</v>
      </c>
      <c r="E66" s="1">
        <v>0</v>
      </c>
      <c r="F66" t="s">
        <v>9</v>
      </c>
    </row>
    <row r="67" spans="1:6" x14ac:dyDescent="0.25">
      <c r="A67" t="s">
        <v>83</v>
      </c>
      <c r="B67" t="s">
        <v>11</v>
      </c>
      <c r="C67" t="s">
        <v>14</v>
      </c>
      <c r="D67" s="1">
        <v>1038000</v>
      </c>
      <c r="E67" s="1">
        <v>0</v>
      </c>
      <c r="F67" t="s">
        <v>9</v>
      </c>
    </row>
    <row r="68" spans="1:6" x14ac:dyDescent="0.25">
      <c r="A68" t="s">
        <v>84</v>
      </c>
      <c r="B68" t="s">
        <v>16</v>
      </c>
      <c r="C68" t="s">
        <v>17</v>
      </c>
      <c r="D68" s="1">
        <v>1085000</v>
      </c>
      <c r="E68" s="1">
        <v>21000</v>
      </c>
      <c r="F68" t="s">
        <v>9</v>
      </c>
    </row>
    <row r="69" spans="1:6" x14ac:dyDescent="0.25">
      <c r="A69" t="s">
        <v>85</v>
      </c>
      <c r="B69" t="s">
        <v>19</v>
      </c>
      <c r="C69" t="s">
        <v>20</v>
      </c>
      <c r="D69" s="1">
        <v>1132000</v>
      </c>
      <c r="E69" s="1">
        <v>0</v>
      </c>
      <c r="F69" t="s">
        <v>9</v>
      </c>
    </row>
    <row r="70" spans="1:6" x14ac:dyDescent="0.25">
      <c r="A70" t="s">
        <v>86</v>
      </c>
      <c r="B70" t="s">
        <v>7</v>
      </c>
      <c r="C70" t="s">
        <v>22</v>
      </c>
      <c r="D70" s="1">
        <v>380000</v>
      </c>
      <c r="E70" s="1">
        <v>0</v>
      </c>
      <c r="F70" t="s">
        <v>9</v>
      </c>
    </row>
    <row r="71" spans="1:6" x14ac:dyDescent="0.25">
      <c r="A71" t="s">
        <v>87</v>
      </c>
      <c r="B71" t="s">
        <v>11</v>
      </c>
      <c r="C71" t="s">
        <v>24</v>
      </c>
      <c r="D71" s="1">
        <v>427000</v>
      </c>
      <c r="E71" s="1">
        <v>0</v>
      </c>
      <c r="F71" t="s">
        <v>9</v>
      </c>
    </row>
    <row r="72" spans="1:6" x14ac:dyDescent="0.25">
      <c r="A72" t="s">
        <v>88</v>
      </c>
      <c r="B72" t="s">
        <v>16</v>
      </c>
      <c r="C72" t="s">
        <v>8</v>
      </c>
      <c r="D72" s="1">
        <v>474000</v>
      </c>
      <c r="E72" s="1">
        <v>6000</v>
      </c>
      <c r="F72" t="s">
        <v>9</v>
      </c>
    </row>
    <row r="73" spans="1:6" x14ac:dyDescent="0.25">
      <c r="A73" t="s">
        <v>89</v>
      </c>
      <c r="B73" t="s">
        <v>19</v>
      </c>
      <c r="C73" t="s">
        <v>12</v>
      </c>
      <c r="D73" s="1">
        <v>521000</v>
      </c>
      <c r="E73" s="1">
        <v>0</v>
      </c>
      <c r="F73" t="s">
        <v>9</v>
      </c>
    </row>
    <row r="74" spans="1:6" x14ac:dyDescent="0.25">
      <c r="A74" t="s">
        <v>90</v>
      </c>
      <c r="B74" t="s">
        <v>7</v>
      </c>
      <c r="C74" t="s">
        <v>14</v>
      </c>
      <c r="D74" s="1">
        <v>568000</v>
      </c>
      <c r="E74" s="1">
        <v>0</v>
      </c>
      <c r="F74" t="s">
        <v>9</v>
      </c>
    </row>
    <row r="75" spans="1:6" x14ac:dyDescent="0.25">
      <c r="A75" t="s">
        <v>91</v>
      </c>
      <c r="B75" t="s">
        <v>11</v>
      </c>
      <c r="C75" t="s">
        <v>17</v>
      </c>
      <c r="D75" s="1">
        <v>615000</v>
      </c>
      <c r="E75" s="1">
        <v>0</v>
      </c>
      <c r="F75" t="s">
        <v>9</v>
      </c>
    </row>
    <row r="76" spans="1:6" x14ac:dyDescent="0.25">
      <c r="A76" t="s">
        <v>92</v>
      </c>
      <c r="B76" t="s">
        <v>16</v>
      </c>
      <c r="C76" t="s">
        <v>20</v>
      </c>
      <c r="D76" s="1">
        <v>662000</v>
      </c>
      <c r="E76" s="1">
        <v>0</v>
      </c>
      <c r="F76" t="s">
        <v>9</v>
      </c>
    </row>
    <row r="77" spans="1:6" x14ac:dyDescent="0.25">
      <c r="A77" t="s">
        <v>93</v>
      </c>
      <c r="B77" t="s">
        <v>19</v>
      </c>
      <c r="C77" t="s">
        <v>22</v>
      </c>
      <c r="D77" s="1">
        <v>709000</v>
      </c>
      <c r="E77" s="1">
        <v>0</v>
      </c>
      <c r="F77" t="s">
        <v>9</v>
      </c>
    </row>
    <row r="78" spans="1:6" x14ac:dyDescent="0.25">
      <c r="A78" t="s">
        <v>94</v>
      </c>
      <c r="B78" t="s">
        <v>7</v>
      </c>
      <c r="C78" t="s">
        <v>24</v>
      </c>
      <c r="D78" s="1">
        <v>756000</v>
      </c>
      <c r="E78" s="1">
        <v>0</v>
      </c>
      <c r="F78" t="s">
        <v>9</v>
      </c>
    </row>
    <row r="79" spans="1:6" x14ac:dyDescent="0.25">
      <c r="A79" t="s">
        <v>95</v>
      </c>
      <c r="B79" t="s">
        <v>11</v>
      </c>
      <c r="C79" t="s">
        <v>8</v>
      </c>
      <c r="D79" s="1">
        <v>803000</v>
      </c>
      <c r="E79" s="1">
        <v>24000</v>
      </c>
      <c r="F79" t="s">
        <v>9</v>
      </c>
    </row>
    <row r="80" spans="1:6" x14ac:dyDescent="0.25">
      <c r="A80" t="s">
        <v>96</v>
      </c>
      <c r="B80" t="s">
        <v>16</v>
      </c>
      <c r="C80" t="s">
        <v>12</v>
      </c>
      <c r="D80" s="1">
        <v>850000</v>
      </c>
      <c r="E80" s="1">
        <v>0</v>
      </c>
      <c r="F80" t="s">
        <v>9</v>
      </c>
    </row>
    <row r="81" spans="1:6" x14ac:dyDescent="0.25">
      <c r="A81" t="s">
        <v>97</v>
      </c>
      <c r="B81" t="s">
        <v>19</v>
      </c>
      <c r="C81" t="s">
        <v>14</v>
      </c>
      <c r="D81" s="1">
        <v>897000</v>
      </c>
      <c r="E81" s="1">
        <v>0</v>
      </c>
      <c r="F81" t="s">
        <v>9</v>
      </c>
    </row>
    <row r="82" spans="1:6" x14ac:dyDescent="0.25">
      <c r="A82" t="s">
        <v>98</v>
      </c>
      <c r="B82" t="s">
        <v>7</v>
      </c>
      <c r="C82" t="s">
        <v>17</v>
      </c>
      <c r="D82" s="1">
        <v>944000</v>
      </c>
      <c r="E82" s="1">
        <v>0</v>
      </c>
      <c r="F82" t="s">
        <v>9</v>
      </c>
    </row>
    <row r="83" spans="1:6" x14ac:dyDescent="0.25">
      <c r="A83" t="s">
        <v>99</v>
      </c>
      <c r="B83" t="s">
        <v>11</v>
      </c>
      <c r="C83" t="s">
        <v>20</v>
      </c>
      <c r="D83" s="1">
        <v>991000</v>
      </c>
      <c r="E83" s="1">
        <v>0</v>
      </c>
      <c r="F83" t="s">
        <v>9</v>
      </c>
    </row>
    <row r="84" spans="1:6" x14ac:dyDescent="0.25">
      <c r="A84" t="s">
        <v>100</v>
      </c>
      <c r="B84" t="s">
        <v>16</v>
      </c>
      <c r="C84" t="s">
        <v>22</v>
      </c>
      <c r="D84" s="1">
        <v>1038000</v>
      </c>
      <c r="E84" s="1">
        <v>0</v>
      </c>
      <c r="F84" t="s">
        <v>9</v>
      </c>
    </row>
    <row r="85" spans="1:6" x14ac:dyDescent="0.25">
      <c r="A85" t="s">
        <v>101</v>
      </c>
      <c r="B85" t="s">
        <v>19</v>
      </c>
      <c r="C85" t="s">
        <v>24</v>
      </c>
      <c r="D85" s="1">
        <v>1085000</v>
      </c>
      <c r="E85" s="1">
        <v>0</v>
      </c>
      <c r="F85" t="s">
        <v>9</v>
      </c>
    </row>
    <row r="86" spans="1:6" x14ac:dyDescent="0.25">
      <c r="A86" t="s">
        <v>102</v>
      </c>
      <c r="B86" t="s">
        <v>7</v>
      </c>
      <c r="C86" t="s">
        <v>8</v>
      </c>
      <c r="D86" s="1">
        <v>1132000</v>
      </c>
      <c r="E86" s="1">
        <v>6000</v>
      </c>
      <c r="F86" t="s">
        <v>9</v>
      </c>
    </row>
    <row r="87" spans="1:6" x14ac:dyDescent="0.25">
      <c r="A87" t="s">
        <v>103</v>
      </c>
      <c r="B87" t="s">
        <v>11</v>
      </c>
      <c r="C87" t="s">
        <v>12</v>
      </c>
      <c r="D87" s="1">
        <v>380000</v>
      </c>
      <c r="E87" s="1">
        <v>0</v>
      </c>
      <c r="F87" t="s">
        <v>9</v>
      </c>
    </row>
    <row r="88" spans="1:6" x14ac:dyDescent="0.25">
      <c r="A88" t="s">
        <v>104</v>
      </c>
      <c r="B88" t="s">
        <v>16</v>
      </c>
      <c r="C88" t="s">
        <v>14</v>
      </c>
      <c r="D88" s="1">
        <v>427000</v>
      </c>
      <c r="E88" s="1">
        <v>0</v>
      </c>
      <c r="F88" t="s">
        <v>9</v>
      </c>
    </row>
    <row r="89" spans="1:6" x14ac:dyDescent="0.25">
      <c r="A89" t="s">
        <v>105</v>
      </c>
      <c r="B89" t="s">
        <v>19</v>
      </c>
      <c r="C89" t="s">
        <v>17</v>
      </c>
      <c r="D89" s="1">
        <v>474000</v>
      </c>
      <c r="E89" s="1">
        <v>0</v>
      </c>
      <c r="F89" t="s">
        <v>9</v>
      </c>
    </row>
    <row r="90" spans="1:6" x14ac:dyDescent="0.25">
      <c r="A90" t="s">
        <v>106</v>
      </c>
      <c r="B90" t="s">
        <v>7</v>
      </c>
      <c r="C90" t="s">
        <v>20</v>
      </c>
      <c r="D90" s="1">
        <v>521000</v>
      </c>
      <c r="E90" s="1">
        <v>27000</v>
      </c>
      <c r="F90" t="s">
        <v>9</v>
      </c>
    </row>
    <row r="91" spans="1:6" x14ac:dyDescent="0.25">
      <c r="A91" t="s">
        <v>107</v>
      </c>
      <c r="B91" t="s">
        <v>11</v>
      </c>
      <c r="C91" t="s">
        <v>22</v>
      </c>
      <c r="D91" s="1">
        <v>568000</v>
      </c>
      <c r="E91" s="1">
        <v>0</v>
      </c>
      <c r="F91" t="s">
        <v>9</v>
      </c>
    </row>
    <row r="92" spans="1:6" x14ac:dyDescent="0.25">
      <c r="A92" t="s">
        <v>108</v>
      </c>
      <c r="B92" t="s">
        <v>16</v>
      </c>
      <c r="C92" t="s">
        <v>24</v>
      </c>
      <c r="D92" s="1">
        <v>615000</v>
      </c>
      <c r="E92" s="1">
        <v>0</v>
      </c>
      <c r="F92" t="s">
        <v>9</v>
      </c>
    </row>
    <row r="93" spans="1:6" x14ac:dyDescent="0.25">
      <c r="A93" t="s">
        <v>109</v>
      </c>
      <c r="B93" t="s">
        <v>19</v>
      </c>
      <c r="C93" t="s">
        <v>8</v>
      </c>
      <c r="D93" s="1">
        <v>662000</v>
      </c>
      <c r="E93" s="1">
        <v>6000</v>
      </c>
      <c r="F93" t="s">
        <v>9</v>
      </c>
    </row>
    <row r="94" spans="1:6" x14ac:dyDescent="0.25">
      <c r="A94" t="s">
        <v>110</v>
      </c>
      <c r="B94" t="s">
        <v>7</v>
      </c>
      <c r="C94" t="s">
        <v>12</v>
      </c>
      <c r="D94" s="1">
        <v>709000</v>
      </c>
      <c r="E94" s="1">
        <v>0</v>
      </c>
      <c r="F94" t="s">
        <v>9</v>
      </c>
    </row>
    <row r="95" spans="1:6" x14ac:dyDescent="0.25">
      <c r="A95" t="s">
        <v>111</v>
      </c>
      <c r="B95" t="s">
        <v>11</v>
      </c>
      <c r="C95" t="s">
        <v>14</v>
      </c>
      <c r="D95" s="1">
        <v>756000</v>
      </c>
      <c r="E95" s="1">
        <v>0</v>
      </c>
      <c r="F95" t="s">
        <v>9</v>
      </c>
    </row>
    <row r="96" spans="1:6" x14ac:dyDescent="0.25">
      <c r="A96" t="s">
        <v>112</v>
      </c>
      <c r="B96" t="s">
        <v>16</v>
      </c>
      <c r="C96" t="s">
        <v>17</v>
      </c>
      <c r="D96" s="1">
        <v>803000</v>
      </c>
      <c r="E96" s="1">
        <v>0</v>
      </c>
      <c r="F96" t="s">
        <v>9</v>
      </c>
    </row>
    <row r="97" spans="1:6" x14ac:dyDescent="0.25">
      <c r="A97" t="s">
        <v>113</v>
      </c>
      <c r="B97" t="s">
        <v>19</v>
      </c>
      <c r="C97" t="s">
        <v>20</v>
      </c>
      <c r="D97" s="1">
        <v>850000</v>
      </c>
      <c r="E97" s="1">
        <v>0</v>
      </c>
      <c r="F97" t="s">
        <v>9</v>
      </c>
    </row>
    <row r="98" spans="1:6" x14ac:dyDescent="0.25">
      <c r="A98" t="s">
        <v>114</v>
      </c>
      <c r="B98" t="s">
        <v>7</v>
      </c>
      <c r="C98" t="s">
        <v>22</v>
      </c>
      <c r="D98" s="1">
        <v>897000</v>
      </c>
      <c r="E98" s="1">
        <v>0</v>
      </c>
      <c r="F98" t="s">
        <v>9</v>
      </c>
    </row>
    <row r="99" spans="1:6" x14ac:dyDescent="0.25">
      <c r="A99" t="s">
        <v>115</v>
      </c>
      <c r="B99" t="s">
        <v>11</v>
      </c>
      <c r="C99" t="s">
        <v>24</v>
      </c>
      <c r="D99" s="1">
        <v>944000</v>
      </c>
      <c r="E99" s="1">
        <v>0</v>
      </c>
      <c r="F99" t="s">
        <v>9</v>
      </c>
    </row>
    <row r="100" spans="1:6" x14ac:dyDescent="0.25">
      <c r="A100" t="s">
        <v>116</v>
      </c>
      <c r="B100" t="s">
        <v>16</v>
      </c>
      <c r="C100" t="s">
        <v>8</v>
      </c>
      <c r="D100" s="1">
        <v>991000</v>
      </c>
      <c r="E100" s="1">
        <v>6000</v>
      </c>
      <c r="F100" t="s">
        <v>9</v>
      </c>
    </row>
    <row r="101" spans="1:6" x14ac:dyDescent="0.25">
      <c r="A101" t="s">
        <v>117</v>
      </c>
      <c r="B101" t="s">
        <v>19</v>
      </c>
      <c r="C101" t="s">
        <v>12</v>
      </c>
      <c r="D101" s="1">
        <v>1038000</v>
      </c>
      <c r="E101" s="1">
        <v>30000</v>
      </c>
      <c r="F101" t="s">
        <v>9</v>
      </c>
    </row>
    <row r="102" spans="1:6" x14ac:dyDescent="0.25">
      <c r="A102" t="s">
        <v>118</v>
      </c>
      <c r="B102" t="s">
        <v>7</v>
      </c>
      <c r="C102" t="s">
        <v>14</v>
      </c>
      <c r="D102" s="1">
        <v>1085000</v>
      </c>
      <c r="E102" s="1">
        <v>0</v>
      </c>
      <c r="F102" t="s">
        <v>9</v>
      </c>
    </row>
    <row r="103" spans="1:6" x14ac:dyDescent="0.25">
      <c r="A103" t="s">
        <v>119</v>
      </c>
      <c r="B103" t="s">
        <v>11</v>
      </c>
      <c r="C103" t="s">
        <v>17</v>
      </c>
      <c r="D103" s="1">
        <v>1132000</v>
      </c>
      <c r="E103" s="1">
        <v>0</v>
      </c>
      <c r="F103" t="s">
        <v>9</v>
      </c>
    </row>
    <row r="104" spans="1:6" x14ac:dyDescent="0.25">
      <c r="A104" t="s">
        <v>120</v>
      </c>
      <c r="B104" t="s">
        <v>16</v>
      </c>
      <c r="C104" t="s">
        <v>20</v>
      </c>
      <c r="D104" s="1">
        <v>380000</v>
      </c>
      <c r="E104" s="1">
        <v>0</v>
      </c>
      <c r="F104" t="s">
        <v>9</v>
      </c>
    </row>
    <row r="105" spans="1:6" x14ac:dyDescent="0.25">
      <c r="A105" t="s">
        <v>121</v>
      </c>
      <c r="B105" t="s">
        <v>19</v>
      </c>
      <c r="C105" t="s">
        <v>22</v>
      </c>
      <c r="D105" s="1">
        <v>427000</v>
      </c>
      <c r="E105" s="1">
        <v>0</v>
      </c>
      <c r="F105" t="s">
        <v>9</v>
      </c>
    </row>
    <row r="106" spans="1:6" x14ac:dyDescent="0.25">
      <c r="A106" t="s">
        <v>122</v>
      </c>
      <c r="B106" t="s">
        <v>7</v>
      </c>
      <c r="C106" t="s">
        <v>24</v>
      </c>
      <c r="D106" s="1">
        <v>474000</v>
      </c>
      <c r="E106" s="1">
        <v>0</v>
      </c>
      <c r="F106" t="s">
        <v>9</v>
      </c>
    </row>
    <row r="107" spans="1:6" x14ac:dyDescent="0.25">
      <c r="A107" t="s">
        <v>123</v>
      </c>
      <c r="B107" t="s">
        <v>11</v>
      </c>
      <c r="C107" t="s">
        <v>8</v>
      </c>
      <c r="D107" s="1">
        <v>521000</v>
      </c>
      <c r="E107" s="1">
        <v>6000</v>
      </c>
      <c r="F107" t="s">
        <v>9</v>
      </c>
    </row>
    <row r="108" spans="1:6" x14ac:dyDescent="0.25">
      <c r="A108" t="s">
        <v>124</v>
      </c>
      <c r="B108" t="s">
        <v>16</v>
      </c>
      <c r="C108" t="s">
        <v>12</v>
      </c>
      <c r="D108" s="1">
        <v>568000</v>
      </c>
      <c r="E108" s="1">
        <v>0</v>
      </c>
      <c r="F108" t="s">
        <v>9</v>
      </c>
    </row>
    <row r="109" spans="1:6" x14ac:dyDescent="0.25">
      <c r="A109" t="s">
        <v>125</v>
      </c>
      <c r="B109" t="s">
        <v>19</v>
      </c>
      <c r="C109" t="s">
        <v>14</v>
      </c>
      <c r="D109" s="1">
        <v>615000</v>
      </c>
      <c r="E109" s="1">
        <v>0</v>
      </c>
      <c r="F109" t="s">
        <v>9</v>
      </c>
    </row>
    <row r="110" spans="1:6" x14ac:dyDescent="0.25">
      <c r="A110" t="s">
        <v>126</v>
      </c>
      <c r="B110" t="s">
        <v>7</v>
      </c>
      <c r="C110" t="s">
        <v>17</v>
      </c>
      <c r="D110" s="1">
        <v>662000</v>
      </c>
      <c r="E110" s="1">
        <v>0</v>
      </c>
      <c r="F110" t="s">
        <v>9</v>
      </c>
    </row>
    <row r="111" spans="1:6" x14ac:dyDescent="0.25">
      <c r="A111" t="s">
        <v>127</v>
      </c>
      <c r="B111" t="s">
        <v>11</v>
      </c>
      <c r="C111" t="s">
        <v>20</v>
      </c>
      <c r="D111" s="1">
        <v>709000</v>
      </c>
      <c r="E111" s="1">
        <v>0</v>
      </c>
      <c r="F111" t="s">
        <v>9</v>
      </c>
    </row>
    <row r="112" spans="1:6" x14ac:dyDescent="0.25">
      <c r="A112" t="s">
        <v>128</v>
      </c>
      <c r="B112" t="s">
        <v>16</v>
      </c>
      <c r="C112" t="s">
        <v>22</v>
      </c>
      <c r="D112" s="1">
        <v>756000</v>
      </c>
      <c r="E112" s="1">
        <v>18000</v>
      </c>
      <c r="F112" t="s">
        <v>9</v>
      </c>
    </row>
    <row r="113" spans="1:6" x14ac:dyDescent="0.25">
      <c r="A113" t="s">
        <v>129</v>
      </c>
      <c r="B113" t="s">
        <v>19</v>
      </c>
      <c r="C113" t="s">
        <v>24</v>
      </c>
      <c r="D113" s="1">
        <v>803000</v>
      </c>
      <c r="E113" s="1">
        <v>0</v>
      </c>
      <c r="F113" t="s">
        <v>9</v>
      </c>
    </row>
    <row r="114" spans="1:6" x14ac:dyDescent="0.25">
      <c r="A114" t="s">
        <v>130</v>
      </c>
      <c r="B114" t="s">
        <v>7</v>
      </c>
      <c r="C114" t="s">
        <v>8</v>
      </c>
      <c r="D114" s="1">
        <v>850000</v>
      </c>
      <c r="E114" s="1">
        <v>6000</v>
      </c>
      <c r="F114" t="s">
        <v>9</v>
      </c>
    </row>
    <row r="115" spans="1:6" x14ac:dyDescent="0.25">
      <c r="A115" t="s">
        <v>131</v>
      </c>
      <c r="B115" t="s">
        <v>11</v>
      </c>
      <c r="C115" t="s">
        <v>12</v>
      </c>
      <c r="D115" s="1">
        <v>897000</v>
      </c>
      <c r="E115" s="1">
        <v>0</v>
      </c>
      <c r="F115" t="s">
        <v>9</v>
      </c>
    </row>
    <row r="116" spans="1:6" x14ac:dyDescent="0.25">
      <c r="A116" t="s">
        <v>132</v>
      </c>
      <c r="B116" t="s">
        <v>16</v>
      </c>
      <c r="C116" t="s">
        <v>14</v>
      </c>
      <c r="D116" s="1">
        <v>944000</v>
      </c>
      <c r="E116" s="1">
        <v>0</v>
      </c>
      <c r="F116" t="s">
        <v>9</v>
      </c>
    </row>
    <row r="117" spans="1:6" x14ac:dyDescent="0.25">
      <c r="A117" t="s">
        <v>133</v>
      </c>
      <c r="B117" t="s">
        <v>19</v>
      </c>
      <c r="C117" t="s">
        <v>17</v>
      </c>
      <c r="D117" s="1">
        <v>991000</v>
      </c>
      <c r="E117" s="1">
        <v>0</v>
      </c>
      <c r="F117" t="s">
        <v>9</v>
      </c>
    </row>
    <row r="118" spans="1:6" x14ac:dyDescent="0.25">
      <c r="A118" t="s">
        <v>134</v>
      </c>
      <c r="B118" t="s">
        <v>7</v>
      </c>
      <c r="C118" t="s">
        <v>20</v>
      </c>
      <c r="D118" s="1">
        <v>1038000</v>
      </c>
      <c r="E118" s="1">
        <v>0</v>
      </c>
      <c r="F118" t="s">
        <v>9</v>
      </c>
    </row>
    <row r="119" spans="1:6" x14ac:dyDescent="0.25">
      <c r="A119" t="s">
        <v>135</v>
      </c>
      <c r="B119" t="s">
        <v>11</v>
      </c>
      <c r="C119" t="s">
        <v>22</v>
      </c>
      <c r="D119" s="1">
        <v>1085000</v>
      </c>
      <c r="E119" s="1">
        <v>0</v>
      </c>
      <c r="F119" t="s">
        <v>9</v>
      </c>
    </row>
    <row r="120" spans="1:6" x14ac:dyDescent="0.25">
      <c r="A120" t="s">
        <v>136</v>
      </c>
      <c r="B120" t="s">
        <v>16</v>
      </c>
      <c r="C120" t="s">
        <v>24</v>
      </c>
      <c r="D120" s="1">
        <v>1132000</v>
      </c>
      <c r="E120" s="1">
        <v>0</v>
      </c>
      <c r="F120" t="s">
        <v>9</v>
      </c>
    </row>
    <row r="121" spans="1:6" x14ac:dyDescent="0.25">
      <c r="A121" t="s">
        <v>137</v>
      </c>
      <c r="B121" t="s">
        <v>19</v>
      </c>
      <c r="C121" t="s">
        <v>8</v>
      </c>
      <c r="D121" s="1">
        <v>380000</v>
      </c>
      <c r="E121" s="1">
        <v>6000</v>
      </c>
      <c r="F12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3" max="3" width="9" style="1" customWidth="1"/>
    <col min="4" max="4" width="9" style="5" customWidth="1"/>
  </cols>
  <sheetData>
    <row r="1" spans="1:4" s="6" customFormat="1" x14ac:dyDescent="0.25">
      <c r="A1" s="6" t="s">
        <v>0</v>
      </c>
      <c r="B1" s="6" t="s">
        <v>1</v>
      </c>
      <c r="C1" s="7" t="s">
        <v>138</v>
      </c>
      <c r="D1" s="8" t="s">
        <v>139</v>
      </c>
    </row>
    <row r="2" spans="1:4" x14ac:dyDescent="0.25">
      <c r="A2" t="s">
        <v>6</v>
      </c>
      <c r="B2" t="s">
        <v>7</v>
      </c>
      <c r="C2" s="1">
        <v>1000000</v>
      </c>
      <c r="D2" s="5">
        <v>0.18</v>
      </c>
    </row>
    <row r="3" spans="1:4" x14ac:dyDescent="0.25">
      <c r="A3" t="s">
        <v>10</v>
      </c>
      <c r="B3" t="s">
        <v>11</v>
      </c>
      <c r="C3" s="1">
        <v>1000000</v>
      </c>
      <c r="D3" s="5">
        <v>0.16</v>
      </c>
    </row>
    <row r="4" spans="1:4" x14ac:dyDescent="0.25">
      <c r="A4" t="s">
        <v>13</v>
      </c>
      <c r="B4" t="s">
        <v>7</v>
      </c>
      <c r="C4" s="1">
        <v>800000</v>
      </c>
      <c r="D4" s="5">
        <v>0.14</v>
      </c>
    </row>
    <row r="5" spans="1:4" x14ac:dyDescent="0.25">
      <c r="A5" t="s">
        <v>15</v>
      </c>
      <c r="B5" t="s">
        <v>16</v>
      </c>
      <c r="C5" s="1">
        <v>900000</v>
      </c>
      <c r="D5" s="5">
        <v>0.15</v>
      </c>
    </row>
    <row r="6" spans="1:4" x14ac:dyDescent="0.25">
      <c r="A6" t="s">
        <v>18</v>
      </c>
      <c r="B6" t="s">
        <v>19</v>
      </c>
      <c r="C6" s="1">
        <v>600000</v>
      </c>
      <c r="D6" s="5">
        <v>0.12</v>
      </c>
    </row>
    <row r="7" spans="1:4" x14ac:dyDescent="0.25">
      <c r="A7" t="s">
        <v>6</v>
      </c>
      <c r="B7" t="s">
        <v>7</v>
      </c>
      <c r="C7" s="1">
        <v>1000000</v>
      </c>
      <c r="D7" s="5">
        <v>0.18</v>
      </c>
    </row>
    <row r="8" spans="1:4" x14ac:dyDescent="0.25">
      <c r="A8" t="s">
        <v>10</v>
      </c>
      <c r="B8" t="s">
        <v>11</v>
      </c>
      <c r="C8" s="1">
        <v>1000000</v>
      </c>
      <c r="D8" s="5">
        <v>0.16</v>
      </c>
    </row>
    <row r="9" spans="1:4" x14ac:dyDescent="0.25">
      <c r="A9" t="s">
        <v>13</v>
      </c>
      <c r="B9" t="s">
        <v>7</v>
      </c>
      <c r="C9" s="1">
        <v>800000</v>
      </c>
      <c r="D9" s="5">
        <v>0.14</v>
      </c>
    </row>
    <row r="10" spans="1:4" x14ac:dyDescent="0.25">
      <c r="A10" t="s">
        <v>15</v>
      </c>
      <c r="B10" t="s">
        <v>16</v>
      </c>
      <c r="C10" s="1">
        <v>900000</v>
      </c>
      <c r="D10" s="5">
        <v>0.15</v>
      </c>
    </row>
    <row r="11" spans="1:4" x14ac:dyDescent="0.25">
      <c r="A11" t="s">
        <v>18</v>
      </c>
      <c r="B11" t="s">
        <v>19</v>
      </c>
      <c r="C11" s="1">
        <v>600000</v>
      </c>
      <c r="D11" s="5">
        <v>0.12</v>
      </c>
    </row>
    <row r="12" spans="1:4" x14ac:dyDescent="0.25">
      <c r="A12" t="s">
        <v>6</v>
      </c>
      <c r="B12" t="s">
        <v>7</v>
      </c>
      <c r="C12" s="1">
        <v>1000000</v>
      </c>
      <c r="D12" s="5">
        <v>0.18</v>
      </c>
    </row>
    <row r="13" spans="1:4" x14ac:dyDescent="0.25">
      <c r="A13" t="s">
        <v>10</v>
      </c>
      <c r="B13" t="s">
        <v>11</v>
      </c>
      <c r="C13" s="1">
        <v>1000000</v>
      </c>
      <c r="D13" s="5">
        <v>0.16</v>
      </c>
    </row>
    <row r="14" spans="1:4" x14ac:dyDescent="0.25">
      <c r="A14" t="s">
        <v>13</v>
      </c>
      <c r="B14" t="s">
        <v>7</v>
      </c>
      <c r="C14" s="1">
        <v>800000</v>
      </c>
      <c r="D14" s="5">
        <v>0.14</v>
      </c>
    </row>
    <row r="15" spans="1:4" x14ac:dyDescent="0.25">
      <c r="A15" t="s">
        <v>15</v>
      </c>
      <c r="B15" t="s">
        <v>16</v>
      </c>
      <c r="C15" s="1">
        <v>900000</v>
      </c>
      <c r="D15" s="5">
        <v>0.15</v>
      </c>
    </row>
    <row r="16" spans="1:4" x14ac:dyDescent="0.25">
      <c r="A16" t="s">
        <v>18</v>
      </c>
      <c r="B16" t="s">
        <v>19</v>
      </c>
      <c r="C16" s="1">
        <v>600000</v>
      </c>
      <c r="D16" s="5">
        <v>0.12</v>
      </c>
    </row>
    <row r="17" spans="1:4" x14ac:dyDescent="0.25">
      <c r="A17" t="s">
        <v>6</v>
      </c>
      <c r="B17" t="s">
        <v>7</v>
      </c>
      <c r="C17" s="1">
        <v>1000000</v>
      </c>
      <c r="D17" s="5">
        <v>0.18</v>
      </c>
    </row>
    <row r="18" spans="1:4" x14ac:dyDescent="0.25">
      <c r="A18" t="s">
        <v>10</v>
      </c>
      <c r="B18" t="s">
        <v>11</v>
      </c>
      <c r="C18" s="1">
        <v>1000000</v>
      </c>
      <c r="D18" s="5">
        <v>0.16</v>
      </c>
    </row>
    <row r="19" spans="1:4" x14ac:dyDescent="0.25">
      <c r="A19" t="s">
        <v>13</v>
      </c>
      <c r="B19" t="s">
        <v>7</v>
      </c>
      <c r="C19" s="1">
        <v>800000</v>
      </c>
      <c r="D19" s="5">
        <v>0.14</v>
      </c>
    </row>
    <row r="20" spans="1:4" x14ac:dyDescent="0.25">
      <c r="A20" t="s">
        <v>15</v>
      </c>
      <c r="B20" t="s">
        <v>16</v>
      </c>
      <c r="C20" s="1">
        <v>900000</v>
      </c>
      <c r="D20" s="5">
        <v>0.15</v>
      </c>
    </row>
    <row r="21" spans="1:4" x14ac:dyDescent="0.25">
      <c r="A21" t="s">
        <v>18</v>
      </c>
      <c r="B21" t="s">
        <v>19</v>
      </c>
      <c r="C21" s="1">
        <v>600000</v>
      </c>
      <c r="D21" s="5">
        <v>0.12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9" customFormat="1" x14ac:dyDescent="0.25">
      <c r="A1" s="9" t="s">
        <v>140</v>
      </c>
      <c r="B1" s="10" t="s">
        <v>141</v>
      </c>
    </row>
    <row r="2" spans="1:2" x14ac:dyDescent="0.25">
      <c r="A2" t="s">
        <v>142</v>
      </c>
      <c r="B2" s="1">
        <f>SUM(订单明细!D2:D121)</f>
      </c>
    </row>
    <row r="3" spans="1:2" x14ac:dyDescent="0.25">
      <c r="A3" t="s">
        <v>143</v>
      </c>
      <c r="B3" s="1">
        <f>SUM(区域目标!C2:C21)</f>
      </c>
    </row>
    <row r="4" spans="1:2" x14ac:dyDescent="0.25">
      <c r="A4" t="s">
        <v>144</v>
      </c>
      <c r="B4" s="1">
        <f>B2-B3</f>
      </c>
    </row>
    <row r="5" spans="1:2" x14ac:dyDescent="0.25">
      <c r="A5" t="s">
        <v>145</v>
      </c>
      <c r="B5" s="11">
        <f>COUNTIF(订单明细!D2:D121,"&lt;800000")</f>
      </c>
    </row>
    <row r="6" spans="1:2" x14ac:dyDescent="0.25">
      <c r="A6" t="s">
        <v>146</v>
      </c>
      <c r="B6" s="1">
        <f>SUMIF(订单明细!B2:B121,"华北",订单明细!D2:D121)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s="12" customFormat="1" x14ac:dyDescent="0.25">
      <c r="A1" s="12" t="s">
        <v>147</v>
      </c>
      <c r="B1" s="12" t="s">
        <v>2</v>
      </c>
      <c r="C1" s="12" t="s">
        <v>148</v>
      </c>
    </row>
    <row r="2" spans="1:3" x14ac:dyDescent="0.25">
      <c r="A2" t="s">
        <v>149</v>
      </c>
      <c r="B2" t="s">
        <v>150</v>
      </c>
      <c r="C2" t="s">
        <v>151</v>
      </c>
    </row>
    <row r="3" spans="1:3" x14ac:dyDescent="0.25">
      <c r="A3" t="s">
        <v>152</v>
      </c>
      <c r="B3" t="s">
        <v>153</v>
      </c>
      <c r="C3" t="s">
        <v>154</v>
      </c>
    </row>
    <row r="4" spans="1:3" x14ac:dyDescent="0.25">
      <c r="A4" t="s">
        <v>155</v>
      </c>
      <c r="B4" t="s">
        <v>156</v>
      </c>
      <c r="C4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订单明细</vt:lpstr>
      <vt:lpstr>区域目标</vt:lpstr>
      <vt:lpstr>汇总看板</vt:lpstr>
      <vt:lpstr>口径说明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NCurator fixture</dc:creator>
  <dc:title>2026年9月经营周报</dc:title>
  <dc:subject/>
  <dc:description/>
  <cp:keywords/>
  <cp:category/>
  <cp:lastModifiedBy>Unknown</cp:lastModifiedBy>
  <dcterms:created xsi:type="dcterms:W3CDTF">2026-08-30T04:33:38Z</dcterms:created>
  <dcterms:modified xsi:type="dcterms:W3CDTF">2026-08-30T04:33:38Z</dcterms:modified>
</cp:coreProperties>
</file>