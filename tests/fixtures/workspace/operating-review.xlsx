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Targets" state="visible" r:id="rId5"/>
    <sheet sheetId="3" name="Summary" state="visible" r:id="rId6"/>
    <sheet sheetId="4" name="Notes" state="visible" r:id="rId7"/>
  </sheets>
  <calcPr calcId="171027"/>
</workbook>
</file>

<file path=xl/sharedStrings.xml><?xml version="1.0" encoding="utf-8"?>
<sst xmlns="http://schemas.openxmlformats.org/spreadsheetml/2006/main" count="53" uniqueCount="39">
  <si>
    <t>Product</t>
  </si>
  <si>
    <t>Region</t>
  </si>
  <si>
    <t>Owner</t>
  </si>
  <si>
    <t>Actual sales</t>
  </si>
  <si>
    <t>Returns</t>
  </si>
  <si>
    <t>P-100</t>
  </si>
  <si>
    <t>East</t>
  </si>
  <si>
    <t>Chen Lin</t>
  </si>
  <si>
    <t>P-200</t>
  </si>
  <si>
    <t>Zhao Jing</t>
  </si>
  <si>
    <t>P-300</t>
  </si>
  <si>
    <t>North</t>
  </si>
  <si>
    <t>Zhou Yu</t>
  </si>
  <si>
    <t>P-400</t>
  </si>
  <si>
    <t>South</t>
  </si>
  <si>
    <t>Sun Yue</t>
  </si>
  <si>
    <t>P-500</t>
  </si>
  <si>
    <t>West</t>
  </si>
  <si>
    <t>Wu Hao</t>
  </si>
  <si>
    <t>Target sales</t>
  </si>
  <si>
    <t>Min margin</t>
  </si>
  <si>
    <t>Metric</t>
  </si>
  <si>
    <t>Value</t>
  </si>
  <si>
    <t>Total actual</t>
  </si>
  <si>
    <t>Total target</t>
  </si>
  <si>
    <t>Gap</t>
  </si>
  <si>
    <t>Below-target count</t>
  </si>
  <si>
    <t>North actual</t>
  </si>
  <si>
    <t>Note id</t>
  </si>
  <si>
    <t>Text</t>
  </si>
  <si>
    <t>N-1</t>
  </si>
  <si>
    <t>Finance</t>
  </si>
  <si>
    <t>P-300 return rate is unusually high; keep this comment until Q3 close.</t>
  </si>
  <si>
    <t>N-2</t>
  </si>
  <si>
    <t>Sales</t>
  </si>
  <si>
    <t>P-200 refund does not change the quarterly target comparison.</t>
  </si>
  <si>
    <t>N-3</t>
  </si>
  <si>
    <t>Ops</t>
  </si>
  <si>
    <t>West region target remains 600,000; do not rewrite this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</si>
</sst>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3" fontId="2" fillId="3" borderId="0" xfId="0" applyNumberFormat="1" applyFont="1" applyFill="1"/>
    <xf numFmtId="164" fontId="0" fillId="0" borderId="0" xfId="0" applyNumberFormat="1"/>
    <xf numFmtId="0" fontId="1" fillId="4" borderId="0" xfId="0" applyFont="1" applyFill="1"/>
    <xf numFmtId="3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1" fontId="0" fillId="0" borderId="0" xfId="0" applyNumberForma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4" max="4" width="16" style="1" customWidth="1"/>
    <col min="5" max="5" width="12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820000</v>
      </c>
      <c r="E2" s="1">
        <v>12000</v>
      </c>
    </row>
    <row r="3" spans="1:5" x14ac:dyDescent="0.25">
      <c r="A3" t="s">
        <v>8</v>
      </c>
      <c r="B3" t="s">
        <v>6</v>
      </c>
      <c r="C3" t="s">
        <v>9</v>
      </c>
      <c r="D3" s="1">
        <v>1040000</v>
      </c>
      <c r="E3" s="1">
        <v>0</v>
      </c>
    </row>
    <row r="4" spans="1:5" x14ac:dyDescent="0.25">
      <c r="A4" t="s">
        <v>10</v>
      </c>
      <c r="B4" t="s">
        <v>11</v>
      </c>
      <c r="C4" t="s">
        <v>12</v>
      </c>
      <c r="D4" s="4">
        <v>650000</v>
      </c>
      <c r="E4" s="1">
        <v>45000</v>
      </c>
    </row>
    <row r="5" spans="1:5" x14ac:dyDescent="0.25">
      <c r="A5" t="s">
        <v>13</v>
      </c>
      <c r="B5" t="s">
        <v>14</v>
      </c>
      <c r="C5" t="s">
        <v>15</v>
      </c>
      <c r="D5" s="1">
        <v>910000</v>
      </c>
      <c r="E5" s="1">
        <v>8000</v>
      </c>
    </row>
    <row r="6" spans="1:5" x14ac:dyDescent="0.25">
      <c r="A6" t="s">
        <v>16</v>
      </c>
      <c r="B6" t="s">
        <v>17</v>
      </c>
      <c r="C6" t="s">
        <v>18</v>
      </c>
      <c r="D6" s="1">
        <v>430000</v>
      </c>
      <c r="E6" s="1">
        <v>21000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3" max="3" width="16" style="1" customWidth="1"/>
    <col min="4" max="4" width="9" style="5" customWidth="1"/>
  </cols>
  <sheetData>
    <row r="1" spans="1:4" s="6" customFormat="1" x14ac:dyDescent="0.25">
      <c r="A1" s="6" t="s">
        <v>0</v>
      </c>
      <c r="B1" s="6" t="s">
        <v>1</v>
      </c>
      <c r="C1" s="7" t="s">
        <v>19</v>
      </c>
      <c r="D1" s="8" t="s">
        <v>20</v>
      </c>
    </row>
    <row r="2" spans="1:4" x14ac:dyDescent="0.25">
      <c r="A2" t="s">
        <v>5</v>
      </c>
      <c r="B2" t="s">
        <v>6</v>
      </c>
      <c r="C2" s="1">
        <v>1000000</v>
      </c>
      <c r="D2" s="5">
        <v>0.18</v>
      </c>
    </row>
    <row r="3" spans="1:4" x14ac:dyDescent="0.25">
      <c r="A3" t="s">
        <v>8</v>
      </c>
      <c r="B3" t="s">
        <v>6</v>
      </c>
      <c r="C3" s="1">
        <v>1000000</v>
      </c>
      <c r="D3" s="5">
        <v>0.16</v>
      </c>
    </row>
    <row r="4" spans="1:4" x14ac:dyDescent="0.25">
      <c r="A4" t="s">
        <v>10</v>
      </c>
      <c r="B4" t="s">
        <v>11</v>
      </c>
      <c r="C4" s="1">
        <v>800000</v>
      </c>
      <c r="D4" s="5">
        <v>0.14</v>
      </c>
    </row>
    <row r="5" spans="1:4" x14ac:dyDescent="0.25">
      <c r="A5" t="s">
        <v>13</v>
      </c>
      <c r="B5" t="s">
        <v>14</v>
      </c>
      <c r="C5" s="1">
        <v>900000</v>
      </c>
      <c r="D5" s="5">
        <v>0.15</v>
      </c>
    </row>
    <row r="6" spans="1:4" x14ac:dyDescent="0.25">
      <c r="A6" t="s">
        <v>16</v>
      </c>
      <c r="B6" t="s">
        <v>17</v>
      </c>
      <c r="C6" s="1">
        <v>600000</v>
      </c>
      <c r="D6" s="5">
        <v>0.12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16" style="1" customWidth="1"/>
  </cols>
  <sheetData>
    <row r="1" spans="1:2" s="9" customFormat="1" x14ac:dyDescent="0.25">
      <c r="A1" s="9" t="s">
        <v>21</v>
      </c>
      <c r="B1" s="10" t="s">
        <v>22</v>
      </c>
    </row>
    <row r="2" spans="1:2" x14ac:dyDescent="0.25">
      <c r="A2" t="s">
        <v>23</v>
      </c>
      <c r="B2" s="1">
        <f>SUM(Orders!D2:D6)</f>
      </c>
    </row>
    <row r="3" spans="1:2" x14ac:dyDescent="0.25">
      <c r="A3" t="s">
        <v>24</v>
      </c>
      <c r="B3" s="1">
        <f>SUM(Targets!C2:C6)</f>
      </c>
    </row>
    <row r="4" spans="1:2" x14ac:dyDescent="0.25">
      <c r="A4" t="s">
        <v>25</v>
      </c>
      <c r="B4" s="1">
        <f>B2-B3</f>
      </c>
    </row>
    <row r="5" spans="1:2" x14ac:dyDescent="0.25">
      <c r="A5" t="s">
        <v>26</v>
      </c>
      <c r="B5" s="11">
        <f>COUNTIF(Orders!D2:D6,"&lt;800000")</f>
      </c>
    </row>
    <row r="6" spans="1:2" x14ac:dyDescent="0.25">
      <c r="A6" t="s">
        <v>27</v>
      </c>
      <c r="B6" s="1">
        <f>SUMIF(Orders!B2:B6,"North",Orders!D2:D6)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3" max="3" width="72" customWidth="1"/>
  </cols>
  <sheetData>
    <row r="1" spans="1:3" s="12" customFormat="1" x14ac:dyDescent="0.25">
      <c r="A1" s="12" t="s">
        <v>28</v>
      </c>
      <c r="B1" s="12" t="s">
        <v>2</v>
      </c>
      <c r="C1" s="12" t="s">
        <v>29</v>
      </c>
    </row>
    <row r="2" spans="1:3" x14ac:dyDescent="0.25">
      <c r="A2" t="s">
        <v>30</v>
      </c>
      <c r="B2" t="s">
        <v>31</v>
      </c>
      <c r="C2" t="s">
        <v>32</v>
      </c>
    </row>
    <row r="3" spans="1:3" x14ac:dyDescent="0.25">
      <c r="A3" t="s">
        <v>33</v>
      </c>
      <c r="B3" t="s">
        <v>34</v>
      </c>
      <c r="C3" t="s">
        <v>35</v>
      </c>
    </row>
    <row r="4" spans="1:3" x14ac:dyDescent="0.25">
      <c r="A4" t="s">
        <v>36</v>
      </c>
      <c r="B4" t="s">
        <v>37</v>
      </c>
      <c r="C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Targets</vt:lpstr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NCurator test fixture</dc:creator>
  <dc:title>Q2 Operating Review</dc:title>
  <dc:subject/>
  <dc:description/>
  <cp:keywords/>
  <cp:category/>
  <cp:lastModifiedBy>Unknown</cp:lastModifiedBy>
  <dcterms:created xsi:type="dcterms:W3CDTF">2026-08-30T03:48:30Z</dcterms:created>
  <dcterms:modified xsi:type="dcterms:W3CDTF">2026-08-30T03:48:30Z</dcterms:modified>
</cp:coreProperties>
</file>