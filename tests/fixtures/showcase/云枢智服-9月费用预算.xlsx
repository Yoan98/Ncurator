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门" state="visible" r:id="rId4"/>
    <sheet sheetId="2" name="汇总" state="visible" r:id="rId5"/>
  </sheets>
  <calcPr calcId="171027" fullCalcOnLoad="1"/>
</workbook>
</file>

<file path=xl/sharedStrings.xml><?xml version="1.0" encoding="utf-8"?>
<sst xmlns="http://schemas.openxmlformats.org/spreadsheetml/2006/main" count="87" uniqueCount="44">
  <si>
    <t>云枢智服 · 2026年9月费用预算（部门明细）</t>
  </si>
  <si>
    <t>编制期间：2026年9月    单位：元</t>
  </si>
  <si>
    <t>部门</t>
  </si>
  <si>
    <t>费用科目</t>
  </si>
  <si>
    <t>预算金额（元）</t>
  </si>
  <si>
    <t>备注</t>
  </si>
  <si>
    <t>市场</t>
  </si>
  <si>
    <t>品牌推广费</t>
  </si>
  <si>
    <t>线上投放与品牌活动</t>
  </si>
  <si>
    <t>渠道合作费</t>
  </si>
  <si>
    <t>渠道联合推广</t>
  </si>
  <si>
    <t>差旅及招待费</t>
  </si>
  <si>
    <t/>
  </si>
  <si>
    <t>办公及物料费</t>
  </si>
  <si>
    <t>小计</t>
  </si>
  <si>
    <t>研发</t>
  </si>
  <si>
    <t>人力成本</t>
  </si>
  <si>
    <t>研发团队薪酬</t>
  </si>
  <si>
    <t>服务器与云资源</t>
  </si>
  <si>
    <t>云主机与带宽</t>
  </si>
  <si>
    <t>软件与工具订阅</t>
  </si>
  <si>
    <t>开发与设计工具</t>
  </si>
  <si>
    <t>测试与认证费</t>
  </si>
  <si>
    <t>交付</t>
  </si>
  <si>
    <t>交付团队薪酬</t>
  </si>
  <si>
    <t>项目差旅费</t>
  </si>
  <si>
    <t>实施与培训费</t>
  </si>
  <si>
    <t>客户现场实施与培训</t>
  </si>
  <si>
    <t>备件与耗材</t>
  </si>
  <si>
    <t>人事</t>
  </si>
  <si>
    <t>人事团队薪酬</t>
  </si>
  <si>
    <t>招聘费</t>
  </si>
  <si>
    <t>培训费</t>
  </si>
  <si>
    <t>员工培训</t>
  </si>
  <si>
    <t>员工福利</t>
  </si>
  <si>
    <t>合计</t>
  </si>
  <si>
    <t>云枢智服 · 2026年9月费用预算汇总</t>
  </si>
  <si>
    <t>序号</t>
  </si>
  <si>
    <t>9月预算合计（元）</t>
  </si>
  <si>
    <t>占比</t>
  </si>
  <si>
    <t>含品牌推广与渠道合作</t>
  </si>
  <si>
    <t>含云资源与工具订阅</t>
  </si>
  <si>
    <t>含项目实施与差旅</t>
  </si>
  <si>
    <t>含招聘与培训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</si>
</sst>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color rgb="FF1F4E79"/>
    </font>
    <font>
      <color rgb="FF808080"/>
    </font>
    <font>
      <b/>
    </font>
    <font>
      <b/>
      <color theme="1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3" fontId="4" fillId="4" borderId="0" xfId="0" applyNumberFormat="1" applyFont="1" applyFill="1"/>
    <xf numFmtId="0" fontId="3" fillId="5" borderId="0" xfId="0" applyFont="1" applyFill="1"/>
    <xf numFmtId="0" fontId="3" fillId="4" borderId="0" xfId="0" applyFont="1" applyFill="1"/>
    <xf numFmtId="164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8" customWidth="1"/>
    <col min="4" max="4" width="1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 t="s">
        <v>7</v>
      </c>
      <c r="C4" s="4">
        <v>80000</v>
      </c>
      <c r="D4" t="s">
        <v>8</v>
      </c>
    </row>
    <row r="5" spans="1:4" x14ac:dyDescent="0.25">
      <c r="A5" t="s">
        <v>6</v>
      </c>
      <c r="B5" t="s">
        <v>9</v>
      </c>
      <c r="C5" s="4">
        <v>45000</v>
      </c>
      <c r="D5" t="s">
        <v>10</v>
      </c>
    </row>
    <row r="6" spans="1:4" x14ac:dyDescent="0.25">
      <c r="A6" t="s">
        <v>6</v>
      </c>
      <c r="B6" t="s">
        <v>11</v>
      </c>
      <c r="C6" s="4">
        <v>12000</v>
      </c>
      <c r="D6" t="s">
        <v>12</v>
      </c>
    </row>
    <row r="7" spans="1:4" x14ac:dyDescent="0.25">
      <c r="A7" t="s">
        <v>6</v>
      </c>
      <c r="B7" t="s">
        <v>13</v>
      </c>
      <c r="C7" s="4">
        <v>6000</v>
      </c>
      <c r="D7" t="s">
        <v>12</v>
      </c>
    </row>
    <row r="8" spans="1:4" x14ac:dyDescent="0.25">
      <c r="A8" s="5" t="s">
        <v>6</v>
      </c>
      <c r="B8" s="5" t="s">
        <v>14</v>
      </c>
      <c r="C8" s="4">
        <f>SUM(C4:C7)</f>
      </c>
      <c r="D8" s="5" t="s">
        <v>12</v>
      </c>
    </row>
    <row r="9" spans="1:4" x14ac:dyDescent="0.25">
      <c r="A9" t="s">
        <v>15</v>
      </c>
      <c r="B9" t="s">
        <v>16</v>
      </c>
      <c r="C9" s="4">
        <v>220000</v>
      </c>
      <c r="D9" t="s">
        <v>17</v>
      </c>
    </row>
    <row r="10" spans="1:4" x14ac:dyDescent="0.25">
      <c r="A10" t="s">
        <v>15</v>
      </c>
      <c r="B10" t="s">
        <v>18</v>
      </c>
      <c r="C10" s="4">
        <v>60000</v>
      </c>
      <c r="D10" t="s">
        <v>19</v>
      </c>
    </row>
    <row r="11" spans="1:4" x14ac:dyDescent="0.25">
      <c r="A11" t="s">
        <v>15</v>
      </c>
      <c r="B11" t="s">
        <v>20</v>
      </c>
      <c r="C11" s="4">
        <v>18000</v>
      </c>
      <c r="D11" t="s">
        <v>21</v>
      </c>
    </row>
    <row r="12" spans="1:4" x14ac:dyDescent="0.25">
      <c r="A12" t="s">
        <v>15</v>
      </c>
      <c r="B12" t="s">
        <v>22</v>
      </c>
      <c r="C12" s="4">
        <v>12000</v>
      </c>
      <c r="D12" t="s">
        <v>12</v>
      </c>
    </row>
    <row r="13" spans="1:4" x14ac:dyDescent="0.25">
      <c r="A13" s="5" t="s">
        <v>15</v>
      </c>
      <c r="B13" s="5" t="s">
        <v>14</v>
      </c>
      <c r="C13" s="4">
        <f>SUM(C9:C12)</f>
      </c>
      <c r="D13" s="5" t="s">
        <v>12</v>
      </c>
    </row>
    <row r="14" spans="1:4" x14ac:dyDescent="0.25">
      <c r="A14" t="s">
        <v>23</v>
      </c>
      <c r="B14" t="s">
        <v>16</v>
      </c>
      <c r="C14" s="4">
        <v>160000</v>
      </c>
      <c r="D14" t="s">
        <v>24</v>
      </c>
    </row>
    <row r="15" spans="1:4" x14ac:dyDescent="0.25">
      <c r="A15" t="s">
        <v>23</v>
      </c>
      <c r="B15" t="s">
        <v>25</v>
      </c>
      <c r="C15" s="4">
        <v>35000</v>
      </c>
      <c r="D15" t="s">
        <v>12</v>
      </c>
    </row>
    <row r="16" spans="1:4" x14ac:dyDescent="0.25">
      <c r="A16" t="s">
        <v>23</v>
      </c>
      <c r="B16" t="s">
        <v>26</v>
      </c>
      <c r="C16" s="4">
        <v>20000</v>
      </c>
      <c r="D16" t="s">
        <v>27</v>
      </c>
    </row>
    <row r="17" spans="1:4" x14ac:dyDescent="0.25">
      <c r="A17" t="s">
        <v>23</v>
      </c>
      <c r="B17" t="s">
        <v>28</v>
      </c>
      <c r="C17" s="4">
        <v>8000</v>
      </c>
      <c r="D17" t="s">
        <v>12</v>
      </c>
    </row>
    <row r="18" spans="1:4" x14ac:dyDescent="0.25">
      <c r="A18" s="5" t="s">
        <v>23</v>
      </c>
      <c r="B18" s="5" t="s">
        <v>14</v>
      </c>
      <c r="C18" s="4">
        <f>SUM(C14:C17)</f>
      </c>
      <c r="D18" s="5" t="s">
        <v>12</v>
      </c>
    </row>
    <row r="19" spans="1:4" x14ac:dyDescent="0.25">
      <c r="A19" t="s">
        <v>29</v>
      </c>
      <c r="B19" t="s">
        <v>16</v>
      </c>
      <c r="C19" s="4">
        <v>90000</v>
      </c>
      <c r="D19" t="s">
        <v>30</v>
      </c>
    </row>
    <row r="20" spans="1:4" x14ac:dyDescent="0.25">
      <c r="A20" t="s">
        <v>29</v>
      </c>
      <c r="B20" t="s">
        <v>31</v>
      </c>
      <c r="C20" s="4">
        <v>15000</v>
      </c>
      <c r="D20" t="s">
        <v>12</v>
      </c>
    </row>
    <row r="21" spans="1:4" x14ac:dyDescent="0.25">
      <c r="A21" t="s">
        <v>29</v>
      </c>
      <c r="B21" t="s">
        <v>32</v>
      </c>
      <c r="C21" s="4">
        <v>10000</v>
      </c>
      <c r="D21" t="s">
        <v>33</v>
      </c>
    </row>
    <row r="22" spans="1:4" x14ac:dyDescent="0.25">
      <c r="A22" t="s">
        <v>29</v>
      </c>
      <c r="B22" t="s">
        <v>34</v>
      </c>
      <c r="C22" s="4">
        <v>12000</v>
      </c>
      <c r="D22" t="s">
        <v>12</v>
      </c>
    </row>
    <row r="23" spans="1:4" x14ac:dyDescent="0.25">
      <c r="A23" s="5" t="s">
        <v>29</v>
      </c>
      <c r="B23" s="5" t="s">
        <v>14</v>
      </c>
      <c r="C23" s="4">
        <f>SUM(C19:C22)</f>
      </c>
      <c r="D23" s="5" t="s">
        <v>12</v>
      </c>
    </row>
    <row r="24" spans="1:4" x14ac:dyDescent="0.25">
      <c r="A24" s="6" t="s">
        <v>35</v>
      </c>
      <c r="B24" s="6" t="s">
        <v>12</v>
      </c>
      <c r="C24" s="4">
        <f>C8+C13+C18+C23</f>
      </c>
      <c r="D24" s="6" t="s">
        <v>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2" width="8" customWidth="1"/>
    <col min="3" max="3" width="11" customWidth="1"/>
    <col min="4" max="4" width="8" customWidth="1"/>
    <col min="5" max="5" width="12" customWidth="1"/>
  </cols>
  <sheetData>
    <row r="1" spans="1:5" x14ac:dyDescent="0.25">
      <c r="A1" s="1" t="s">
        <v>36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37</v>
      </c>
      <c r="B3" s="3" t="s">
        <v>2</v>
      </c>
      <c r="C3" s="3" t="s">
        <v>38</v>
      </c>
      <c r="D3" s="3" t="s">
        <v>39</v>
      </c>
      <c r="E3" s="3" t="s">
        <v>5</v>
      </c>
    </row>
    <row r="4" spans="1:5" x14ac:dyDescent="0.25">
      <c r="A4">
        <v>1</v>
      </c>
      <c r="B4" t="s">
        <v>6</v>
      </c>
      <c r="C4" s="4">
        <f>'部门'!C8</f>
      </c>
      <c r="D4" s="7">
        <f>C4/$C$8</f>
      </c>
      <c r="E4" t="s">
        <v>40</v>
      </c>
    </row>
    <row r="5" spans="1:5" x14ac:dyDescent="0.25">
      <c r="A5">
        <v>2</v>
      </c>
      <c r="B5" t="s">
        <v>15</v>
      </c>
      <c r="C5" s="4">
        <f>'部门'!C13</f>
      </c>
      <c r="D5" s="7">
        <f>C5/$C$8</f>
      </c>
      <c r="E5" t="s">
        <v>41</v>
      </c>
    </row>
    <row r="6" spans="1:5" x14ac:dyDescent="0.25">
      <c r="A6">
        <v>3</v>
      </c>
      <c r="B6" t="s">
        <v>23</v>
      </c>
      <c r="C6" s="4">
        <f>'部门'!C18</f>
      </c>
      <c r="D6" s="7">
        <f>C6/$C$8</f>
      </c>
      <c r="E6" t="s">
        <v>42</v>
      </c>
    </row>
    <row r="7" spans="1:5" x14ac:dyDescent="0.25">
      <c r="A7">
        <v>4</v>
      </c>
      <c r="B7" t="s">
        <v>29</v>
      </c>
      <c r="C7" s="4">
        <f>'部门'!C23</f>
      </c>
      <c r="D7" s="7">
        <f>C7/$C$8</f>
      </c>
      <c r="E7" t="s">
        <v>43</v>
      </c>
    </row>
    <row r="8" spans="1:5" x14ac:dyDescent="0.25">
      <c r="A8" s="6" t="s">
        <v>35</v>
      </c>
      <c r="B8" s="6" t="s">
        <v>12</v>
      </c>
      <c r="C8" s="4">
        <f>SUM(C4:C7)</f>
      </c>
      <c r="D8" s="7">
        <f>SUM(D4:D7)</f>
      </c>
      <c r="E8" s="6" t="s">
        <v>12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部门</vt:lpstr>
      <vt:lpstr>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2026-09-16T07:17:49Z</dcterms:created>
  <dcterms:modified xsi:type="dcterms:W3CDTF">2026-09-16T07:17:49Z</dcterms:modified>
</cp:coreProperties>
</file>